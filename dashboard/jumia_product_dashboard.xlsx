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aw_data" sheetId="1" state="visible" r:id="rId3"/>
    <sheet name="data_dictionary" sheetId="2" state="visible" r:id="rId4"/>
    <sheet name="clean_data" sheetId="3" state="visible" r:id="rId5"/>
  </sheets>
  <definedNames>
    <definedName function="false" hidden="true" localSheetId="2" name="_xlnm._FilterDatabase" vbProcedure="false">clean_data!$A$1:$L$114</definedName>
    <definedName function="false" hidden="true" localSheetId="0" name="_xlnm._FilterDatabase" vbProcedure="false">raw_data!$A:$I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<sst xmlns="http://schemas.openxmlformats.org/spreadsheetml/2006/main" count="705" uniqueCount="424">
  <si>
    <t xml:space="preserve">Product</t>
  </si>
  <si>
    <t xml:space="preserve">Current price</t>
  </si>
  <si>
    <t xml:space="preserve">old price</t>
  </si>
  <si>
    <t xml:space="preserve">Discount</t>
  </si>
  <si>
    <t xml:space="preserve">Review</t>
  </si>
  <si>
    <t xml:space="preserve">Ratingd</t>
  </si>
  <si>
    <t xml:space="preserve">Exclude_flag</t>
  </si>
  <si>
    <t xml:space="preserve">115  Piece Set Of Multifunctional Precision Screwdrivers</t>
  </si>
  <si>
    <t xml:space="preserve">KSh 950</t>
  </si>
  <si>
    <t xml:space="preserve">KSh 1,525</t>
  </si>
  <si>
    <t xml:space="preserve">38%</t>
  </si>
  <si>
    <t xml:space="preserve">4.5 out of 5</t>
  </si>
  <si>
    <t xml:space="preserve">NO</t>
  </si>
  <si>
    <t xml:space="preserve">Metal Decorative Hooks Key Hangers Entryway Wall Hooks Towel Hooks - Home</t>
  </si>
  <si>
    <t xml:space="preserve">KSh 527</t>
  </si>
  <si>
    <t xml:space="preserve">KSh 999</t>
  </si>
  <si>
    <t xml:space="preserve">47%</t>
  </si>
  <si>
    <t xml:space="preserve">4.1 out of 5</t>
  </si>
  <si>
    <t xml:space="preserve">Portable Mini Cordless Car Vacuum Cleaner - Blue</t>
  </si>
  <si>
    <t xml:space="preserve">KSh 2,199</t>
  </si>
  <si>
    <t xml:space="preserve">KSh 2,923</t>
  </si>
  <si>
    <t xml:space="preserve">25%</t>
  </si>
  <si>
    <t xml:space="preserve">4.6 out of 5</t>
  </si>
  <si>
    <t xml:space="preserve">Weighing Scale Digital Bathroom Body Fat Scale USB-Black</t>
  </si>
  <si>
    <t xml:space="preserve">KSh 1,580</t>
  </si>
  <si>
    <t xml:space="preserve">KSh 2,499</t>
  </si>
  <si>
    <t xml:space="preserve">37%</t>
  </si>
  <si>
    <t xml:space="preserve">4.7 out of 5</t>
  </si>
  <si>
    <t xml:space="preserve">Portable Home Small Air Humidifier 3-Speed Fan - Green</t>
  </si>
  <si>
    <t xml:space="preserve">KSh 1,740</t>
  </si>
  <si>
    <t xml:space="preserve">KSh 2,356</t>
  </si>
  <si>
    <t xml:space="preserve">26%</t>
  </si>
  <si>
    <t xml:space="preserve">4.8 out of 5</t>
  </si>
  <si>
    <t xml:space="preserve">220V 60W Electric Soldering Iron Kits With Tools, Tips, And Multimeter</t>
  </si>
  <si>
    <t xml:space="preserve">KSh 2,999</t>
  </si>
  <si>
    <t xml:space="preserve">KSh 3,290</t>
  </si>
  <si>
    <t xml:space="preserve">9%</t>
  </si>
  <si>
    <t xml:space="preserve">4 out of 5</t>
  </si>
  <si>
    <t xml:space="preserve">137 Pieces Cake Decorating Tool Set Baking Supplies</t>
  </si>
  <si>
    <t xml:space="preserve">KSh 2,319</t>
  </si>
  <si>
    <t xml:space="preserve">KSh 3,032</t>
  </si>
  <si>
    <t xml:space="preserve">24%</t>
  </si>
  <si>
    <t xml:space="preserve">Desk Foldable Fan Adjustable Fan Strong Wind 3 Gear Usb</t>
  </si>
  <si>
    <t xml:space="preserve">KSh 988</t>
  </si>
  <si>
    <t xml:space="preserve">LASA FOLDING TABLE SERVING STAND</t>
  </si>
  <si>
    <t xml:space="preserve">KSh 1,274</t>
  </si>
  <si>
    <t xml:space="preserve">KSh 2,800</t>
  </si>
  <si>
    <t xml:space="preserve">55%</t>
  </si>
  <si>
    <t xml:space="preserve">13 In 1 Home Repair Tools Box Kit Set</t>
  </si>
  <si>
    <t xml:space="preserve">KSh 1,600</t>
  </si>
  <si>
    <t xml:space="preserve">KSh 2,929</t>
  </si>
  <si>
    <t xml:space="preserve">45%</t>
  </si>
  <si>
    <t xml:space="preserve">3.8 out of 5</t>
  </si>
  <si>
    <t xml:space="preserve">Genebre 115 In 1 Screwdriver Repairing Tool Set For IPhone Cellphone Hand Tool</t>
  </si>
  <si>
    <t xml:space="preserve">KSh 799</t>
  </si>
  <si>
    <t xml:space="preserve">20%</t>
  </si>
  <si>
    <t xml:space="preserve">100 Pcs Crochet Hook Tool Set Knitting Hook Set With Box</t>
  </si>
  <si>
    <t xml:space="preserve">KSh 990</t>
  </si>
  <si>
    <t xml:space="preserve">KSh 1,500</t>
  </si>
  <si>
    <t xml:space="preserve">34%</t>
  </si>
  <si>
    <t xml:space="preserve">40cm Gold DIY Acrylic Wall Sticker Clock</t>
  </si>
  <si>
    <t xml:space="preserve">KSh 552</t>
  </si>
  <si>
    <t xml:space="preserve">KSh 1,035</t>
  </si>
  <si>
    <t xml:space="preserve">LASA Digital Thermometer And Hydrometer</t>
  </si>
  <si>
    <t xml:space="preserve">KSh 501</t>
  </si>
  <si>
    <t xml:space="preserve">KSh 860</t>
  </si>
  <si>
    <t xml:space="preserve">42%</t>
  </si>
  <si>
    <t xml:space="preserve">Multifunction Laser Level With Adjustment Tripod</t>
  </si>
  <si>
    <t xml:space="preserve">KSh 1,680</t>
  </si>
  <si>
    <t xml:space="preserve">33%</t>
  </si>
  <si>
    <t xml:space="preserve">4.2 out of 5</t>
  </si>
  <si>
    <t xml:space="preserve">Anti-Skid Absorbent Insulation Coaster  For Home Office</t>
  </si>
  <si>
    <t xml:space="preserve">KSh 332</t>
  </si>
  <si>
    <t xml:space="preserve">KSh 684</t>
  </si>
  <si>
    <t xml:space="preserve">51%</t>
  </si>
  <si>
    <t xml:space="preserve">5 out of 5</t>
  </si>
  <si>
    <t xml:space="preserve">Peacock  Throw Pillow Cushion Case For Home Car</t>
  </si>
  <si>
    <t xml:space="preserve">KSh 195</t>
  </si>
  <si>
    <t xml:space="preserve">KSh 360</t>
  </si>
  <si>
    <t xml:space="preserve">46%</t>
  </si>
  <si>
    <t xml:space="preserve">LASA Aluminum Folding Truck Hand Cart - 68kg Max</t>
  </si>
  <si>
    <t xml:space="preserve">KSh 2,025</t>
  </si>
  <si>
    <t xml:space="preserve">KSh 3,971</t>
  </si>
  <si>
    <t xml:space="preserve">49%</t>
  </si>
  <si>
    <t xml:space="preserve">LED Wall Digital Alarm Clock Study Home 12 / 24H Clock Calendar</t>
  </si>
  <si>
    <t xml:space="preserve">KSh 3,699</t>
  </si>
  <si>
    <t xml:space="preserve">19%</t>
  </si>
  <si>
    <t xml:space="preserve">3D Waterproof EVA Plastic Shower Curtain 1.8*2Mtrs</t>
  </si>
  <si>
    <t xml:space="preserve">KSh 998</t>
  </si>
  <si>
    <t xml:space="preserve">KSh 1,966</t>
  </si>
  <si>
    <t xml:space="preserve">3PCS Single Head Knitting Crochet Sweater Needle Set</t>
  </si>
  <si>
    <t xml:space="preserve">KSh 38</t>
  </si>
  <si>
    <t xml:space="preserve">KSh 80</t>
  </si>
  <si>
    <t xml:space="preserve">53%</t>
  </si>
  <si>
    <t xml:space="preserve">3.3 out of 5</t>
  </si>
  <si>
    <t xml:space="preserve">4pcs Bathroom/Kitchen Towel Rack,Roll Paper Holder,Towel Bars,Hook</t>
  </si>
  <si>
    <t xml:space="preserve">KSh 1,860</t>
  </si>
  <si>
    <t xml:space="preserve">KSh 3,220</t>
  </si>
  <si>
    <t xml:space="preserve">LED Romantic Spaceship Starry Sky Projector,Children's Bedroom Night Light-Blue</t>
  </si>
  <si>
    <t xml:space="preserve">KSh 880</t>
  </si>
  <si>
    <t xml:space="preserve">KSh 1,350</t>
  </si>
  <si>
    <t xml:space="preserve">35%</t>
  </si>
  <si>
    <t xml:space="preserve">Foldable Overbed Table/Desk</t>
  </si>
  <si>
    <t xml:space="preserve">KSh 1,650</t>
  </si>
  <si>
    <t xml:space="preserve">KSh 2,150</t>
  </si>
  <si>
    <t xml:space="preserve">23%</t>
  </si>
  <si>
    <t xml:space="preserve">4.4 out of 5</t>
  </si>
  <si>
    <t xml:space="preserve">LASA 3 Tier Bamboo Shoe Bench Storage Shelf</t>
  </si>
  <si>
    <t xml:space="preserve">KSh 2,048</t>
  </si>
  <si>
    <t xml:space="preserve">KSh 4,500</t>
  </si>
  <si>
    <t xml:space="preserve">54%</t>
  </si>
  <si>
    <t xml:space="preserve">4.3 out of 5</t>
  </si>
  <si>
    <t xml:space="preserve">Electronic Digital Display Vernier Caliper</t>
  </si>
  <si>
    <t xml:space="preserve">KSh 420</t>
  </si>
  <si>
    <t xml:space="preserve">KSh 647</t>
  </si>
  <si>
    <t xml:space="preserve">Portable Wardrobe Nonwoven With 3 Hanging Rods And 6 Storage Shelves</t>
  </si>
  <si>
    <t xml:space="preserve">KSh 2,880</t>
  </si>
  <si>
    <t xml:space="preserve">KSh 3,520</t>
  </si>
  <si>
    <t xml:space="preserve">18%</t>
  </si>
  <si>
    <t xml:space="preserve">12 Litre Black Insulated Lunch Box</t>
  </si>
  <si>
    <t xml:space="preserve">KSh 1,990</t>
  </si>
  <si>
    <t xml:space="preserve">32%</t>
  </si>
  <si>
    <t xml:space="preserve">52 Pieces Cake Decorating Tool Set Gift Kit Baking Supplies</t>
  </si>
  <si>
    <t xml:space="preserve">KSh 1,758</t>
  </si>
  <si>
    <t xml:space="preserve">30%</t>
  </si>
  <si>
    <t xml:space="preserve">MultiFunctional Storage Rack Multi-layer Bookshelf</t>
  </si>
  <si>
    <t xml:space="preserve">KSh 2,200</t>
  </si>
  <si>
    <t xml:space="preserve">KSh 4,080</t>
  </si>
  <si>
    <t xml:space="preserve">Exfoliate And Exfoliate Face Towel - Black</t>
  </si>
  <si>
    <t xml:space="preserve">KSh 185</t>
  </si>
  <si>
    <t xml:space="preserve">KSh 382</t>
  </si>
  <si>
    <t xml:space="preserve">52%</t>
  </si>
  <si>
    <t xml:space="preserve">12 Litre Insulated Lunch Box Grey</t>
  </si>
  <si>
    <t xml:space="preserve">KSh 980</t>
  </si>
  <si>
    <t xml:space="preserve">KSh 1,490</t>
  </si>
  <si>
    <t xml:space="preserve">LED Eye Protection  Desk Lamp , Study, Reading, USB Fan - Double Pen Holder</t>
  </si>
  <si>
    <t xml:space="preserve">KSh 1,820</t>
  </si>
  <si>
    <t xml:space="preserve">KSh 3,490</t>
  </si>
  <si>
    <t xml:space="preserve">48%</t>
  </si>
  <si>
    <t xml:space="preserve">53Pcs/Set Yarn Knitting Crochet Hooks With Bag - Fortune Cat</t>
  </si>
  <si>
    <t xml:space="preserve">KSh 1,940</t>
  </si>
  <si>
    <t xml:space="preserve">KSh 2,650</t>
  </si>
  <si>
    <t xml:space="preserve">27%</t>
  </si>
  <si>
    <t xml:space="preserve">53 Pieces/Set Yarn Knitting Crochet Hooks With Bag - Pansies</t>
  </si>
  <si>
    <t xml:space="preserve">KSh 1,980</t>
  </si>
  <si>
    <t xml:space="preserve">KSh 2,699</t>
  </si>
  <si>
    <t xml:space="preserve">DIY File Folder, Office Drawer File Holder, Pen Holder, Desktop Storage Rack</t>
  </si>
  <si>
    <t xml:space="preserve">KSh 1,620</t>
  </si>
  <si>
    <t xml:space="preserve">KSh 2,690</t>
  </si>
  <si>
    <t xml:space="preserve">40%</t>
  </si>
  <si>
    <t xml:space="preserve">Classic Black Cat Cotton Hemp Pillow Case For Home Car</t>
  </si>
  <si>
    <t xml:space="preserve">KSh 171</t>
  </si>
  <si>
    <t xml:space="preserve">Punch-free Great Load Bearing Bathroom Storage Rack Wall Shelf-White</t>
  </si>
  <si>
    <t xml:space="preserve">KSh 389</t>
  </si>
  <si>
    <t xml:space="preserve">KSh 656</t>
  </si>
  <si>
    <t xml:space="preserve">41%</t>
  </si>
  <si>
    <t xml:space="preserve">1/2/3 Seater Elastic Sofa Cover,Living Room/Home Decor Chair Cover-Grey</t>
  </si>
  <si>
    <t xml:space="preserve">KSh 1,620 - KSh 1,980</t>
  </si>
  <si>
    <t xml:space="preserve">KSh 2,200 - KSh 3,200</t>
  </si>
  <si>
    <t xml:space="preserve">YES</t>
  </si>
  <si>
    <t xml:space="preserve">LASA Stainless Steel Double Wall Mount Soap Dispenser - 500ml</t>
  </si>
  <si>
    <t xml:space="preserve">KSh 2,750</t>
  </si>
  <si>
    <t xml:space="preserve">KSh 4,471</t>
  </si>
  <si>
    <t xml:space="preserve">4M Float Switch Water Level Controller -Water Tank</t>
  </si>
  <si>
    <t xml:space="preserve">KSh 475</t>
  </si>
  <si>
    <t xml:space="preserve">KSh 931</t>
  </si>
  <si>
    <t xml:space="preserve">Modern Sofa Throw Pillow Cover-45x45cm-Blue&amp;Red</t>
  </si>
  <si>
    <t xml:space="preserve">KSh 238</t>
  </si>
  <si>
    <t xml:space="preserve">KSh 476</t>
  </si>
  <si>
    <t xml:space="preserve">50%</t>
  </si>
  <si>
    <t xml:space="preserve">Balloon Insert, Birthday Party Balloon Set, PU Leather</t>
  </si>
  <si>
    <t xml:space="preserve">KSh 610</t>
  </si>
  <si>
    <t xml:space="preserve">KSh 1,060</t>
  </si>
  <si>
    <t xml:space="preserve">Shower Cap Wide Elastic Band Cover Reusable Bashroom Cap</t>
  </si>
  <si>
    <t xml:space="preserve">KSh 2,132</t>
  </si>
  <si>
    <t xml:space="preserve">KSh 2,169</t>
  </si>
  <si>
    <t xml:space="preserve">2%</t>
  </si>
  <si>
    <t xml:space="preserve">Christmas Elk Fence Yard Lawn Decorations Cute For Holidays</t>
  </si>
  <si>
    <t xml:space="preserve">KSh 2,000</t>
  </si>
  <si>
    <t xml:space="preserve">60W Hot Melt Glue Sprayer - Efficient And Stable Glue Dispensing</t>
  </si>
  <si>
    <t xml:space="preserve">KSh 1,190</t>
  </si>
  <si>
    <t xml:space="preserve">KSh 1,785</t>
  </si>
  <si>
    <t xml:space="preserve">Car Phone Charging Stand</t>
  </si>
  <si>
    <t xml:space="preserve">KSh 671</t>
  </si>
  <si>
    <t xml:space="preserve">KSh 1,316</t>
  </si>
  <si>
    <t xml:space="preserve">2pcs Solar Street Light Flood Light Outdoor</t>
  </si>
  <si>
    <t xml:space="preserve">KSh 1,200</t>
  </si>
  <si>
    <t xml:space="preserve">KSh 1,950</t>
  </si>
  <si>
    <t xml:space="preserve">Creative Owl Shape Keychain Black</t>
  </si>
  <si>
    <t xml:space="preserve">KSh 199</t>
  </si>
  <si>
    <t xml:space="preserve">KSh 504</t>
  </si>
  <si>
    <t xml:space="preserve">61%</t>
  </si>
  <si>
    <t xml:space="preserve">Brush &amp; Paintbrush Cleaning Tool Pink</t>
  </si>
  <si>
    <t xml:space="preserve">KSh 299</t>
  </si>
  <si>
    <t xml:space="preserve">KSh 600</t>
  </si>
  <si>
    <t xml:space="preserve">Pen Grips For Kids Pen Grip Posture Correction Tool For Kids</t>
  </si>
  <si>
    <t xml:space="preserve">KSh 1,660</t>
  </si>
  <si>
    <t xml:space="preserve">KSh 1,699</t>
  </si>
  <si>
    <t xml:space="preserve">Pilates Cloth Bag Waterproof Durable High Capacity Purple</t>
  </si>
  <si>
    <t xml:space="preserve">KSh 384</t>
  </si>
  <si>
    <t xml:space="preserve">22%</t>
  </si>
  <si>
    <t xml:space="preserve">Multi-purpose Rice Drainage Basket And Fruit And Vegetable Drainage Sieve</t>
  </si>
  <si>
    <t xml:space="preserve">KSh 1,459</t>
  </si>
  <si>
    <t xml:space="preserve">KSh 1,499</t>
  </si>
  <si>
    <t xml:space="preserve">3%</t>
  </si>
  <si>
    <t xml:space="preserve">Cute Christmas Fence Garden Decorations For Holiday Home</t>
  </si>
  <si>
    <t xml:space="preserve">KSh 1,343</t>
  </si>
  <si>
    <t xml:space="preserve">Simple Metal Dog Art Sculpture Decoration For Home Office</t>
  </si>
  <si>
    <t xml:space="preserve">KSh 499</t>
  </si>
  <si>
    <t xml:space="preserve">KSh 900</t>
  </si>
  <si>
    <t xml:space="preserve">Christmas Fence Garden Decorations Outdoor For Holiday Home</t>
  </si>
  <si>
    <t xml:space="preserve">KSh 699</t>
  </si>
  <si>
    <t xml:space="preserve">Angle Measuring Tool Full Metal Multi Angle Measuring Tool</t>
  </si>
  <si>
    <t xml:space="preserve">KSh 1,567</t>
  </si>
  <si>
    <t xml:space="preserve">12V 19500rpm Handheld Electric Angle Grinder Tool - UK - Yellow/Black</t>
  </si>
  <si>
    <t xml:space="preserve">KSh 2,799</t>
  </si>
  <si>
    <t xml:space="preserve">KSh 3,810</t>
  </si>
  <si>
    <t xml:space="preserve">KSh 399</t>
  </si>
  <si>
    <t xml:space="preserve">KSh 896</t>
  </si>
  <si>
    <t xml:space="preserve">5 Pieces/set Of Stainless Steel Induction Cooker Pots</t>
  </si>
  <si>
    <t xml:space="preserve">KSh 2,170</t>
  </si>
  <si>
    <t xml:space="preserve">KSh 2,500</t>
  </si>
  <si>
    <t xml:space="preserve">13%</t>
  </si>
  <si>
    <t xml:space="preserve">2.5 out of 5</t>
  </si>
  <si>
    <t xml:space="preserve">Mythco 120COB Solar Wall Ligt With Motion Sensor And Remote Control 3 Modes</t>
  </si>
  <si>
    <t xml:space="preserve">KSh 458</t>
  </si>
  <si>
    <t xml:space="preserve">KSh 986</t>
  </si>
  <si>
    <t xml:space="preserve">3 out of 5</t>
  </si>
  <si>
    <t xml:space="preserve">5-PCS Stainless Steel Cooking Pot Set With Steamed Slices</t>
  </si>
  <si>
    <t xml:space="preserve">KSh 2,115</t>
  </si>
  <si>
    <t xml:space="preserve">KSh 4,700</t>
  </si>
  <si>
    <t xml:space="preserve">2.1 out of 5</t>
  </si>
  <si>
    <t xml:space="preserve">120W Cordless Vacuum Cleaners Handheld Electric Vacuum Cleaner</t>
  </si>
  <si>
    <t xml:space="preserve">KSh 445</t>
  </si>
  <si>
    <t xml:space="preserve">KSh 873</t>
  </si>
  <si>
    <t xml:space="preserve">2.8 out of 5</t>
  </si>
  <si>
    <t xml:space="preserve">Intelligent  LED Body Sensor Wireless Lighting Night Light USB</t>
  </si>
  <si>
    <t xml:space="preserve">KSh 325</t>
  </si>
  <si>
    <t xml:space="preserve">KSh 680</t>
  </si>
  <si>
    <t xml:space="preserve">2.7 out of 5</t>
  </si>
  <si>
    <t xml:space="preserve">VIC Wireless Vacuum Cleaner Dual Use For Home And Car 120W High Power Powerful</t>
  </si>
  <si>
    <t xml:space="preserve">KSh 1,220</t>
  </si>
  <si>
    <t xml:space="preserve">KSh 1,555</t>
  </si>
  <si>
    <t xml:space="preserve">2.9 out of 5</t>
  </si>
  <si>
    <t xml:space="preserve">Artificial Potted Flowers Room Decorative Flowers (2 Pieces)</t>
  </si>
  <si>
    <t xml:space="preserve">KSh 1,814</t>
  </si>
  <si>
    <t xml:space="preserve">2.2 out of 5</t>
  </si>
  <si>
    <t xml:space="preserve">380ML USB Rechargeable Portable Small Blenders And Juicers</t>
  </si>
  <si>
    <t xml:space="preserve">KSh 1,000</t>
  </si>
  <si>
    <t xml:space="preserve">2.3 out of 5</t>
  </si>
  <si>
    <t xml:space="preserve">32PCS Portable Cordless Drill Set With Cyclic Battery Drive -26 Variable Speed</t>
  </si>
  <si>
    <t xml:space="preserve">KSh 3,750</t>
  </si>
  <si>
    <t xml:space="preserve">KSh 6,143</t>
  </si>
  <si>
    <t xml:space="preserve">39%</t>
  </si>
  <si>
    <t xml:space="preserve">Agapeon Toothbrush Holder And Toothpaste Dispenser</t>
  </si>
  <si>
    <t xml:space="preserve">KSh 700</t>
  </si>
  <si>
    <t xml:space="preserve">2.6 out of 5</t>
  </si>
  <si>
    <t xml:space="preserve">Large Lazy Inflatable Sofa Chairs PVC Lounger Seat Bag</t>
  </si>
  <si>
    <t xml:space="preserve">KSh 2,300</t>
  </si>
  <si>
    <t xml:space="preserve">KSh 3,240</t>
  </si>
  <si>
    <t xml:space="preserve">29%</t>
  </si>
  <si>
    <t xml:space="preserve">Watercolour Gold Foil Textured Print Pillow Cover</t>
  </si>
  <si>
    <t xml:space="preserve">KSh 345</t>
  </si>
  <si>
    <t xml:space="preserve">KSh 602</t>
  </si>
  <si>
    <t xml:space="preserve">43%</t>
  </si>
  <si>
    <t xml:space="preserve">Wrought Iron Bathroom Shelf Wall Mounted Free Punch Toilet Rack</t>
  </si>
  <si>
    <t xml:space="preserve">KSh 509</t>
  </si>
  <si>
    <t xml:space="preserve">KSh 899</t>
  </si>
  <si>
    <t xml:space="preserve">7-piece Set Of Storage Bags, Travel Storage Bags, Shoe Bags</t>
  </si>
  <si>
    <t xml:space="preserve">KSh 968</t>
  </si>
  <si>
    <t xml:space="preserve">Electric LED UV Mosquito Killer Lamp, Outdoor/Indoor Fly Killer Trap Light -USB</t>
  </si>
  <si>
    <t xml:space="preserve">KSh 1,570</t>
  </si>
  <si>
    <t xml:space="preserve">KSh 2,988</t>
  </si>
  <si>
    <t xml:space="preserve">2PCS/LOT Solar LED Outdoor Intelligent Light Controlled Wall Lamp</t>
  </si>
  <si>
    <t xml:space="preserve">KSh 790</t>
  </si>
  <si>
    <t xml:space="preserve">KSh 1,485</t>
  </si>
  <si>
    <t xml:space="preserve">3PCS Rotary Scraper Thermomix For Kitchen</t>
  </si>
  <si>
    <t xml:space="preserve">KSh 690</t>
  </si>
  <si>
    <t xml:space="preserve">Cushion Silicone Butt Cushion Summer Ice Cushion Honeycomb Gel Cushion</t>
  </si>
  <si>
    <t xml:space="preserve">KSh 1,732</t>
  </si>
  <si>
    <t xml:space="preserve">KSh 1,799</t>
  </si>
  <si>
    <t xml:space="preserve">4%</t>
  </si>
  <si>
    <t xml:space="preserve">7PCS Silicone Thumb Knife Finger Protector Vegetable Harvesting Knife</t>
  </si>
  <si>
    <t xml:space="preserve">KSh 230</t>
  </si>
  <si>
    <t xml:space="preserve">KSh 450</t>
  </si>
  <si>
    <t xml:space="preserve">Memory Foam Neck Pillow Cover, With Pillow Core - 50*30cm</t>
  </si>
  <si>
    <t xml:space="preserve">KSh 1,189</t>
  </si>
  <si>
    <t xml:space="preserve">Bedroom Simple Floor Hanging Clothes Rack Single Pole Hat Rack - White</t>
  </si>
  <si>
    <t xml:space="preserve">KSh 979</t>
  </si>
  <si>
    <t xml:space="preserve">KSh 1,920</t>
  </si>
  <si>
    <t xml:space="preserve">5m Waterproof Spherical LED String Lights Outdoor Ball Chain Lights Party Lighting Decoration Adjustable</t>
  </si>
  <si>
    <t xml:space="preserve">KSh 1,460</t>
  </si>
  <si>
    <t xml:space="preserve">KSh 2,290</t>
  </si>
  <si>
    <t xml:space="preserve">36%</t>
  </si>
  <si>
    <t xml:space="preserve">2 Pairs Cowhide Split Leather Work Gloves.32â Or Above Welding Gloves</t>
  </si>
  <si>
    <t xml:space="preserve">KSh 1,666</t>
  </si>
  <si>
    <t xml:space="preserve">Household Pineapple Peeler Peeler</t>
  </si>
  <si>
    <t xml:space="preserve">KSh 330</t>
  </si>
  <si>
    <t xml:space="preserve">KSh 176</t>
  </si>
  <si>
    <t xml:space="preserve">Office Chair Lumbar Back Support Spine Posture Correction Pillow Car Cushion</t>
  </si>
  <si>
    <t xml:space="preserve">KSh 1,466</t>
  </si>
  <si>
    <t xml:space="preserve">14%</t>
  </si>
  <si>
    <t xml:space="preserve">Cartoon Car Decoration Cute Individuality For Car Home Desk</t>
  </si>
  <si>
    <t xml:space="preserve">KSh 274</t>
  </si>
  <si>
    <t xml:space="preserve">KSh 537</t>
  </si>
  <si>
    <t xml:space="preserve">Outdoor Portable Water Bottle With Medicine Box - 600ML - Black</t>
  </si>
  <si>
    <t xml:space="preserve">11%</t>
  </si>
  <si>
    <t xml:space="preserve">KSh 657</t>
  </si>
  <si>
    <t xml:space="preserve">KSh 1,288</t>
  </si>
  <si>
    <t xml:space="preserve">Wall-Mounted Toothbrush Toothpaste Holder With Multiple Slots</t>
  </si>
  <si>
    <t xml:space="preserve">KSh 1,468</t>
  </si>
  <si>
    <t xml:space="preserve">Multifunctional Hanging Storage Box Storage Bag (4 Layers)</t>
  </si>
  <si>
    <t xml:space="preserve">KSh 630</t>
  </si>
  <si>
    <t xml:space="preserve">KSh 1,100</t>
  </si>
  <si>
    <t xml:space="preserve">Wall Clock With Hidden Safe Box</t>
  </si>
  <si>
    <t xml:space="preserve">KSh 850</t>
  </si>
  <si>
    <t xml:space="preserve">KSh 1,700</t>
  </si>
  <si>
    <t xml:space="preserve">Portable Wine Table With Folding Round Table</t>
  </si>
  <si>
    <t xml:space="preserve">KSh 1,300</t>
  </si>
  <si>
    <t xml:space="preserve">Sewing Machine Needle Threader Stitch Insertion Tool Automatic Quick Sewing</t>
  </si>
  <si>
    <t xml:space="preserve">KSh 105</t>
  </si>
  <si>
    <t xml:space="preserve">KSh 200</t>
  </si>
  <si>
    <t xml:space="preserve">6 Layers Steel Pipe Assembling Dustproof Storage Shoe Cabinet</t>
  </si>
  <si>
    <t xml:space="preserve">2PCS Ice Silk Square Cushion Cover Pillowcases - 65x65cm</t>
  </si>
  <si>
    <t xml:space="preserve">KSh 2,400</t>
  </si>
  <si>
    <t xml:space="preserve">Wall Mount Automatic Toothpaste Dispenser Toothbrush Holder Toothpaste Squeezer</t>
  </si>
  <si>
    <t xml:space="preserve">KSh 1,526</t>
  </si>
  <si>
    <t xml:space="preserve">8%</t>
  </si>
  <si>
    <t xml:space="preserve">Portable Soap Dispenser Kitchen Detergent Press Box Kitchen Tools</t>
  </si>
  <si>
    <t xml:space="preserve">KSh 1,462</t>
  </si>
  <si>
    <t xml:space="preserve">4 Piece Coloured Stainless Steel Kitchenware Set</t>
  </si>
  <si>
    <t xml:space="preserve">KSh 248</t>
  </si>
  <si>
    <t xml:space="preserve">KSh 486</t>
  </si>
  <si>
    <t xml:space="preserve">Metal Wall Clock Silver Dial Crystal Jewelry Round Home Decoration Wall Clock</t>
  </si>
  <si>
    <t xml:space="preserve">KSh 3,546</t>
  </si>
  <si>
    <t xml:space="preserve">Baby Early Education Shape And Color Cognitive Training Toys</t>
  </si>
  <si>
    <t xml:space="preserve">KSh 525</t>
  </si>
  <si>
    <t xml:space="preserve">KSh 1,029</t>
  </si>
  <si>
    <t xml:space="preserve">8in1 Screwdriver With LED Light</t>
  </si>
  <si>
    <t xml:space="preserve">KSh 1,080</t>
  </si>
  <si>
    <t xml:space="preserve">KSh 1,874</t>
  </si>
  <si>
    <t xml:space="preserve">Konka Healty Electric Kettle, 24-hour Heat Preservation,1.5L,800W, White</t>
  </si>
  <si>
    <t xml:space="preserve">KSh 3,640</t>
  </si>
  <si>
    <t xml:space="preserve">KSh 4,588</t>
  </si>
  <si>
    <t xml:space="preserve">21%</t>
  </si>
  <si>
    <t xml:space="preserve">9pcs Gas Mask, For Painting, Dust, Formaldehyde Grinding, Polishing</t>
  </si>
  <si>
    <t xml:space="preserve">KSh 1,420</t>
  </si>
  <si>
    <t xml:space="preserve">KSh 2,420</t>
  </si>
  <si>
    <t xml:space="preserve">24 Grid Wall-mounted Sundries Organiser Fabric Closet Bag Storage Rack</t>
  </si>
  <si>
    <t xml:space="preserve">KSh 1,875</t>
  </si>
  <si>
    <t xml:space="preserve">KSh 1,899</t>
  </si>
  <si>
    <t xml:space="preserve">1%</t>
  </si>
  <si>
    <t xml:space="preserve">1PC Refrigerator Food Seal Pocket Fridge Bags</t>
  </si>
  <si>
    <t xml:space="preserve">KSh 198</t>
  </si>
  <si>
    <t xml:space="preserve">KSh 260</t>
  </si>
  <si>
    <t xml:space="preserve">LED Solar Street Light-fake Camera</t>
  </si>
  <si>
    <t xml:space="preserve">KSh 1,150</t>
  </si>
  <si>
    <t xml:space="preserve">KSh 1,737</t>
  </si>
  <si>
    <t xml:space="preserve">Cartoon Embroidered Mini Towel Bear Cotton Wash Cloth Hand 4pcs</t>
  </si>
  <si>
    <t xml:space="preserve">KSh 1,810</t>
  </si>
  <si>
    <t xml:space="preserve">Shower Nozzle Cleaning Unclogging Needle Mini Crevice Small Hole Cleaning Brush</t>
  </si>
  <si>
    <t xml:space="preserve">KSh 1,658</t>
  </si>
  <si>
    <t xml:space="preserve">Thickening Multipurpose Non Stick Easy To Clean Heat Resistant Spoon Pad</t>
  </si>
  <si>
    <t xml:space="preserve">KSh 1,768</t>
  </si>
  <si>
    <t xml:space="preserve">6 In 1 Bottle Can Opener Multifunctional Easy Opener</t>
  </si>
  <si>
    <t xml:space="preserve">KSh 553</t>
  </si>
  <si>
    <t xml:space="preserve">64%</t>
  </si>
  <si>
    <t xml:space="preserve">Wall-mounted Sticker Punch-free Plug Fixer</t>
  </si>
  <si>
    <t xml:space="preserve">2 out of 5</t>
  </si>
  <si>
    <t xml:space="preserve">Black Simple Water Cup Wine Coaster Anti Slip Absorbent</t>
  </si>
  <si>
    <t xml:space="preserve">KSh 169</t>
  </si>
  <si>
    <t xml:space="preserve">KSh 320</t>
  </si>
  <si>
    <t xml:space="preserve">'</t>
  </si>
  <si>
    <t xml:space="preserve">Column Name</t>
  </si>
  <si>
    <t xml:space="preserve">Issue Found</t>
  </si>
  <si>
    <t xml:space="preserve">Rows Affected</t>
  </si>
  <si>
    <t xml:space="preserve">Decision Made</t>
  </si>
  <si>
    <t xml:space="preserve">Formula Used</t>
  </si>
  <si>
    <t xml:space="preserve">Mixed case,</t>
  </si>
  <si>
    <t xml:space="preserve">convert to camel case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</si>
  <si>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=PROPER(TRIM(A2))</t>
    </r>
  </si>
  <si>
    <t xml:space="preserve">Alphanumeric, text</t>
  </si>
  <si>
    <t xml:space="preserve">make numeric – currency</t>
  </si>
  <si>
    <t xml:space="preserve">=VALUE(TRIM(SUBSTITUTE(LOWER(B2), "ksh", "")))</t>
  </si>
  <si>
    <t xml:space="preserve">Same as above</t>
  </si>
  <si>
    <t xml:space="preserve">=VALUE(TRIM(SUBSTITUTE(LOWER(C2), "ksh", "")))</t>
  </si>
  <si>
    <t xml:space="preserve">Percentage format</t>
  </si>
  <si>
    <t xml:space="preserve">make numeric  – percentage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</si>
  <si>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=VALUE(LEFT(TRIM(D2),FIND("%",D2,1)))</t>
    </r>
  </si>
  <si>
    <t xml:space="preserve">Negative numbers</t>
  </si>
  <si>
    <t xml:space="preserve">make absolute – review count cant be negative</t>
  </si>
  <si>
    <t xml:space="preserve">=ABS(TRIM(E2))</t>
  </si>
  <si>
    <t xml:space="preserve">typos</t>
  </si>
  <si>
    <t xml:space="preserve">Fix typo </t>
  </si>
  <si>
    <t xml:space="preserve">blanks</t>
  </si>
  <si>
    <t xml:space="preserve">data format</t>
  </si>
  <si>
    <t xml:space="preserve">Remove out of 5 and indicate max rating on title</t>
  </si>
  <si>
    <r>
      <rPr>
        <sz val="10"/>
        <rFont val="Nimbus Roman"/>
        <family val="0"/>
        <charset val="1"/>
      </rPr>
      <t xml:space="preserve">'=IF(E2, “”, “”, </t>
    </r>
    <r>
      <rPr>
        <sz val="10"/>
        <rFont val="Arial"/>
        <family val="2"/>
        <charset val="1"/>
      </rPr>
      <t xml:space="preserve">LEFT(TRIM(E2),FIND("%",E2,1)))</t>
    </r>
  </si>
  <si>
    <t xml:space="preserve">current price /old price</t>
  </si>
  <si>
    <t xml:space="preserve">range</t>
  </si>
  <si>
    <t xml:space="preserve">Delete – cant accurate figure out the exact prices for the seats</t>
  </si>
  <si>
    <t xml:space="preserve">duplicates</t>
  </si>
  <si>
    <t xml:space="preserve">delete</t>
  </si>
  <si>
    <t xml:space="preserve">delete duplicates</t>
  </si>
  <si>
    <t xml:space="preserve">discount pecentages</t>
  </si>
  <si>
    <t xml:space="preserve">negligeble dicount percentage variance</t>
  </si>
  <si>
    <t xml:space="preserve">use absolute values to calculate discount ie op-np</t>
  </si>
  <si>
    <t xml:space="preserve">=COUNTIF($clean_data.G:G, "&lt;&gt;0")</t>
  </si>
  <si>
    <t xml:space="preserve">rating categories</t>
  </si>
  <si>
    <t xml:space="preserve">range from 4.1 – 4.5 is not categorised</t>
  </si>
  <si>
    <t xml:space="preserve">move ange for average to 4.5 – only use clean_rating_category in analysis</t>
  </si>
  <si>
    <t xml:space="preserve">clean_products</t>
  </si>
  <si>
    <t xml:space="preserve">clean_current_price</t>
  </si>
  <si>
    <t xml:space="preserve">clean_old_price</t>
  </si>
  <si>
    <t xml:space="preserve">clean_discount_percentage</t>
  </si>
  <si>
    <t xml:space="preserve">clean_reviews_count</t>
  </si>
  <si>
    <t xml:space="preserve">clean_rating_out_of_5</t>
  </si>
  <si>
    <t xml:space="preserve">discount_variance</t>
  </si>
  <si>
    <t xml:space="preserve">validation_price_logic</t>
  </si>
  <si>
    <t xml:space="preserve">validation_rating_range</t>
  </si>
  <si>
    <t xml:space="preserve">validation_percentage_discount</t>
  </si>
  <si>
    <t xml:space="preserve">clean_discounted_amount</t>
  </si>
  <si>
    <t xml:space="preserve">rating_category</t>
  </si>
  <si>
    <t xml:space="preserve">clean_rating_categories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</si>
</sst>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[$KSh-AC09]* #,##0.00;[RED]\-[$KSh-AC09]* #,##0.00"/>
    <numFmt numFmtId="167" formatCode="0.00%"/>
    <numFmt numFmtId="168" formatCode="0"/>
    <numFmt numFmtId="169" formatCode="0.0"/>
    <numFmt numFmtId="170" formatCode="0%"/>
    <numFmt numFmtId="171" formatCode="0.0000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FreeMono"/>
      <family val="3"/>
      <charset val="1"/>
    </font>
    <font>
      <sz val="10"/>
      <name val="FreeMono"/>
      <family val="3"/>
      <charset val="1"/>
    </font>
    <font>
      <sz val="10"/>
      <name val="Nimbus Roman"/>
      <family val="0"/>
      <charset val="1"/>
    </font>
    <font>
      <b val="true"/>
      <sz val="10"/>
      <name val="Nimbus Roman"/>
      <family val="0"/>
      <charset val="1"/>
    </font>
    <font>
      <sz val="10.5"/>
      <name val="FreeMono"/>
      <family val="3"/>
      <charset val="1"/>
    </font>
    <font>
      <b val="true"/>
      <i val="true"/>
      <sz val="10.5"/>
      <name val="FreeMono"/>
      <family val="3"/>
      <charset val="1"/>
    </font>
    <font>
      <b val="true"/>
      <i val="true"/>
      <sz val="10.5"/>
      <name val="FreeMono"/>
      <family val="3"/>
    </font>
    <font>
      <sz val="10.5"/>
      <name val="FreeMono"/>
      <family val="3"/>
    </font>
    <font>
      <sz val="10"/>
      <name val="Courier New"/>
      <family val="3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b val="1"/>
      </font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9966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color rgb="FFCC0000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color rgb="FF996600"/>
      </font>
      <fill>
        <patternFill>
          <bgColor rgb="FFFFFF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B97" colorId="64" zoomScale="100" zoomScaleNormal="100" zoomScalePageLayoutView="100" workbookViewId="0">
      <selection pane="topLeft" activeCell="L35" activeCellId="0" sqref="L3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36.57"/>
    <col collapsed="false" customWidth="true" hidden="false" outlineLevel="0" max="2" min="2" style="1" width="34.64"/>
    <col collapsed="false" customWidth="true" hidden="false" outlineLevel="0" max="3" min="3" style="1" width="25.74"/>
    <col collapsed="false" customWidth="true" hidden="false" outlineLevel="0" max="4" min="4" style="1" width="9.6"/>
    <col collapsed="false" customWidth="true" hidden="false" outlineLevel="0" max="5" min="5" style="1" width="15.99"/>
    <col collapsed="false" customWidth="true" hidden="false" outlineLevel="0" max="6" min="6" style="1" width="17.95"/>
    <col collapsed="false" customWidth="false" hidden="false" outlineLevel="0" max="8" min="7" style="1" width="11.53"/>
    <col collapsed="false" customWidth="false" hidden="false" outlineLevel="0" max="9" min="9" style="2" width="11.53"/>
    <col collapsed="false" customWidth="false" hidden="false" outlineLevel="0" max="16384" min="10" style="1" width="11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2" t="s">
        <v>6</v>
      </c>
    </row>
    <row r="2" customFormat="false" ht="13.8" hidden="false" customHeight="false" outlineLevel="0" collapsed="false">
      <c r="A2" s="1" t="s">
        <v>7</v>
      </c>
      <c r="B2" s="1" t="s">
        <v>8</v>
      </c>
      <c r="C2" s="1" t="s">
        <v>9</v>
      </c>
      <c r="D2" s="3" t="s">
        <v>10</v>
      </c>
      <c r="E2" s="1" t="n">
        <v>-2</v>
      </c>
      <c r="F2" s="1" t="s">
        <v>11</v>
      </c>
      <c r="I2" s="2" t="s">
        <v>12</v>
      </c>
    </row>
    <row r="3" customFormat="false" ht="13.8" hidden="false" customHeight="false" outlineLevel="0" collapsed="false">
      <c r="A3" s="1" t="s">
        <v>13</v>
      </c>
      <c r="B3" s="1" t="s">
        <v>14</v>
      </c>
      <c r="C3" s="1" t="s">
        <v>15</v>
      </c>
      <c r="D3" s="3" t="s">
        <v>16</v>
      </c>
      <c r="E3" s="1" t="n">
        <v>-14</v>
      </c>
      <c r="F3" s="1" t="s">
        <v>17</v>
      </c>
      <c r="I3" s="2" t="s">
        <v>12</v>
      </c>
    </row>
    <row r="4" customFormat="false" ht="13.8" hidden="false" customHeight="false" outlineLevel="0" collapsed="false">
      <c r="A4" s="1" t="s">
        <v>18</v>
      </c>
      <c r="B4" s="1" t="s">
        <v>19</v>
      </c>
      <c r="C4" s="1" t="s">
        <v>20</v>
      </c>
      <c r="D4" s="3" t="s">
        <v>21</v>
      </c>
      <c r="E4" s="1" t="n">
        <v>-24</v>
      </c>
      <c r="F4" s="1" t="s">
        <v>22</v>
      </c>
      <c r="I4" s="2" t="s">
        <v>12</v>
      </c>
    </row>
    <row r="5" customFormat="false" ht="13.8" hidden="false" customHeight="false" outlineLevel="0" collapsed="false">
      <c r="A5" s="1" t="s">
        <v>23</v>
      </c>
      <c r="B5" s="1" t="s">
        <v>24</v>
      </c>
      <c r="C5" s="1" t="s">
        <v>25</v>
      </c>
      <c r="D5" s="3" t="s">
        <v>26</v>
      </c>
      <c r="E5" s="1" t="n">
        <v>-7</v>
      </c>
      <c r="F5" s="1" t="s">
        <v>27</v>
      </c>
      <c r="I5" s="2" t="s">
        <v>12</v>
      </c>
    </row>
    <row r="6" customFormat="false" ht="13.8" hidden="false" customHeight="false" outlineLevel="0" collapsed="false">
      <c r="A6" s="1" t="s">
        <v>28</v>
      </c>
      <c r="B6" s="1" t="s">
        <v>29</v>
      </c>
      <c r="C6" s="1" t="s">
        <v>30</v>
      </c>
      <c r="D6" s="3" t="s">
        <v>31</v>
      </c>
      <c r="E6" s="1" t="n">
        <v>-5</v>
      </c>
      <c r="F6" s="1" t="s">
        <v>32</v>
      </c>
      <c r="I6" s="2" t="s">
        <v>12</v>
      </c>
    </row>
    <row r="7" customFormat="false" ht="13.8" hidden="false" customHeight="false" outlineLevel="0" collapsed="false">
      <c r="A7" s="1" t="s">
        <v>33</v>
      </c>
      <c r="B7" s="1" t="s">
        <v>34</v>
      </c>
      <c r="C7" s="1" t="s">
        <v>35</v>
      </c>
      <c r="D7" s="3" t="s">
        <v>36</v>
      </c>
      <c r="E7" s="1" t="n">
        <v>-15</v>
      </c>
      <c r="F7" s="1" t="s">
        <v>37</v>
      </c>
      <c r="I7" s="2" t="s">
        <v>12</v>
      </c>
    </row>
    <row r="8" customFormat="false" ht="13.8" hidden="false" customHeight="false" outlineLevel="0" collapsed="false">
      <c r="A8" s="1" t="s">
        <v>38</v>
      </c>
      <c r="B8" s="1" t="s">
        <v>39</v>
      </c>
      <c r="C8" s="1" t="s">
        <v>40</v>
      </c>
      <c r="D8" s="3" t="s">
        <v>41</v>
      </c>
      <c r="E8" s="1" t="n">
        <v>-55</v>
      </c>
      <c r="F8" s="1" t="s">
        <v>22</v>
      </c>
      <c r="I8" s="2" t="s">
        <v>12</v>
      </c>
    </row>
    <row r="9" customFormat="false" ht="13.8" hidden="false" customHeight="false" outlineLevel="0" collapsed="false">
      <c r="A9" s="1" t="s">
        <v>42</v>
      </c>
      <c r="B9" s="1" t="s">
        <v>43</v>
      </c>
      <c r="C9" s="1" t="s">
        <v>24</v>
      </c>
      <c r="D9" s="3" t="s">
        <v>26</v>
      </c>
      <c r="E9" s="1" t="n">
        <v>-2</v>
      </c>
      <c r="F9" s="1" t="s">
        <v>37</v>
      </c>
      <c r="I9" s="2" t="s">
        <v>12</v>
      </c>
    </row>
    <row r="10" customFormat="false" ht="13.8" hidden="false" customHeight="false" outlineLevel="0" collapsed="false">
      <c r="A10" s="1" t="s">
        <v>44</v>
      </c>
      <c r="B10" s="1" t="s">
        <v>45</v>
      </c>
      <c r="C10" s="1" t="s">
        <v>46</v>
      </c>
      <c r="D10" s="3" t="s">
        <v>47</v>
      </c>
      <c r="E10" s="1" t="n">
        <v>-5</v>
      </c>
      <c r="F10" s="1" t="s">
        <v>32</v>
      </c>
      <c r="I10" s="2" t="s">
        <v>12</v>
      </c>
    </row>
    <row r="11" customFormat="false" ht="13.8" hidden="false" customHeight="false" outlineLevel="0" collapsed="false">
      <c r="A11" s="1" t="s">
        <v>48</v>
      </c>
      <c r="B11" s="1" t="s">
        <v>49</v>
      </c>
      <c r="C11" s="1" t="s">
        <v>50</v>
      </c>
      <c r="D11" s="3" t="s">
        <v>51</v>
      </c>
      <c r="E11" s="1" t="n">
        <v>-5</v>
      </c>
      <c r="F11" s="1" t="s">
        <v>52</v>
      </c>
      <c r="I11" s="2" t="s">
        <v>12</v>
      </c>
    </row>
    <row r="12" customFormat="false" ht="13.8" hidden="false" customHeight="false" outlineLevel="0" collapsed="false">
      <c r="A12" s="1" t="s">
        <v>53</v>
      </c>
      <c r="B12" s="1" t="s">
        <v>54</v>
      </c>
      <c r="C12" s="1" t="s">
        <v>15</v>
      </c>
      <c r="D12" s="3" t="s">
        <v>55</v>
      </c>
      <c r="E12" s="1" t="n">
        <v>-12</v>
      </c>
      <c r="F12" s="1" t="s">
        <v>17</v>
      </c>
      <c r="I12" s="2" t="s">
        <v>12</v>
      </c>
    </row>
    <row r="13" customFormat="false" ht="13.8" hidden="false" customHeight="false" outlineLevel="0" collapsed="false">
      <c r="A13" s="1" t="s">
        <v>56</v>
      </c>
      <c r="B13" s="1" t="s">
        <v>57</v>
      </c>
      <c r="C13" s="1" t="s">
        <v>58</v>
      </c>
      <c r="D13" s="3" t="s">
        <v>59</v>
      </c>
      <c r="E13" s="1" t="n">
        <v>-39</v>
      </c>
      <c r="F13" s="1" t="s">
        <v>27</v>
      </c>
      <c r="I13" s="2" t="s">
        <v>12</v>
      </c>
    </row>
    <row r="14" customFormat="false" ht="13.8" hidden="false" customHeight="false" outlineLevel="0" collapsed="false">
      <c r="A14" s="1" t="s">
        <v>60</v>
      </c>
      <c r="B14" s="1" t="s">
        <v>61</v>
      </c>
      <c r="C14" s="1" t="s">
        <v>62</v>
      </c>
      <c r="D14" s="3" t="s">
        <v>16</v>
      </c>
      <c r="E14" s="1" t="n">
        <v>-12</v>
      </c>
      <c r="F14" s="1" t="s">
        <v>32</v>
      </c>
      <c r="I14" s="2" t="s">
        <v>12</v>
      </c>
    </row>
    <row r="15" customFormat="false" ht="13.8" hidden="false" customHeight="false" outlineLevel="0" collapsed="false">
      <c r="A15" s="1" t="s">
        <v>63</v>
      </c>
      <c r="B15" s="1" t="s">
        <v>64</v>
      </c>
      <c r="C15" s="1" t="s">
        <v>65</v>
      </c>
      <c r="D15" s="3" t="s">
        <v>66</v>
      </c>
      <c r="E15" s="1" t="n">
        <v>-6</v>
      </c>
      <c r="F15" s="1" t="s">
        <v>11</v>
      </c>
      <c r="I15" s="2" t="s">
        <v>12</v>
      </c>
    </row>
    <row r="16" customFormat="false" ht="13.8" hidden="false" customHeight="false" outlineLevel="0" collapsed="false">
      <c r="A16" s="1" t="s">
        <v>67</v>
      </c>
      <c r="B16" s="1" t="s">
        <v>68</v>
      </c>
      <c r="C16" s="1" t="s">
        <v>25</v>
      </c>
      <c r="D16" s="3" t="s">
        <v>69</v>
      </c>
      <c r="E16" s="1" t="n">
        <v>-9</v>
      </c>
      <c r="F16" s="1" t="s">
        <v>70</v>
      </c>
      <c r="I16" s="2" t="s">
        <v>12</v>
      </c>
    </row>
    <row r="17" customFormat="false" ht="13.8" hidden="false" customHeight="false" outlineLevel="0" collapsed="false">
      <c r="A17" s="1" t="s">
        <v>71</v>
      </c>
      <c r="B17" s="1" t="s">
        <v>72</v>
      </c>
      <c r="C17" s="1" t="s">
        <v>73</v>
      </c>
      <c r="D17" s="3" t="s">
        <v>74</v>
      </c>
      <c r="E17" s="1" t="n">
        <v>-2</v>
      </c>
      <c r="F17" s="1" t="s">
        <v>75</v>
      </c>
      <c r="I17" s="2" t="s">
        <v>12</v>
      </c>
    </row>
    <row r="18" customFormat="false" ht="13.8" hidden="false" customHeight="false" outlineLevel="0" collapsed="false">
      <c r="A18" s="1" t="s">
        <v>76</v>
      </c>
      <c r="B18" s="1" t="s">
        <v>77</v>
      </c>
      <c r="C18" s="1" t="s">
        <v>78</v>
      </c>
      <c r="D18" s="3" t="s">
        <v>79</v>
      </c>
      <c r="E18" s="1" t="n">
        <v>-2</v>
      </c>
      <c r="F18" s="1" t="s">
        <v>75</v>
      </c>
      <c r="I18" s="2" t="s">
        <v>12</v>
      </c>
    </row>
    <row r="19" customFormat="false" ht="13.8" hidden="false" customHeight="false" outlineLevel="0" collapsed="false">
      <c r="A19" s="1" t="s">
        <v>80</v>
      </c>
      <c r="B19" s="1" t="s">
        <v>81</v>
      </c>
      <c r="C19" s="1" t="s">
        <v>82</v>
      </c>
      <c r="D19" s="3" t="s">
        <v>83</v>
      </c>
      <c r="E19" s="1" t="n">
        <v>-3</v>
      </c>
      <c r="F19" s="1" t="s">
        <v>75</v>
      </c>
      <c r="I19" s="2" t="s">
        <v>12</v>
      </c>
    </row>
    <row r="20" customFormat="false" ht="13.8" hidden="false" customHeight="false" outlineLevel="0" collapsed="false">
      <c r="A20" s="1" t="s">
        <v>84</v>
      </c>
      <c r="B20" s="1" t="s">
        <v>34</v>
      </c>
      <c r="C20" s="1" t="s">
        <v>85</v>
      </c>
      <c r="D20" s="3" t="s">
        <v>86</v>
      </c>
      <c r="E20" s="1" t="n">
        <v>-5</v>
      </c>
      <c r="F20" s="1" t="s">
        <v>22</v>
      </c>
      <c r="I20" s="2" t="s">
        <v>12</v>
      </c>
    </row>
    <row r="21" customFormat="false" ht="13.8" hidden="false" customHeight="false" outlineLevel="0" collapsed="false">
      <c r="A21" s="1" t="s">
        <v>87</v>
      </c>
      <c r="B21" s="1" t="s">
        <v>88</v>
      </c>
      <c r="C21" s="1" t="s">
        <v>89</v>
      </c>
      <c r="D21" s="3" t="s">
        <v>83</v>
      </c>
      <c r="E21" s="1" t="n">
        <v>-44</v>
      </c>
      <c r="F21" s="1" t="s">
        <v>22</v>
      </c>
      <c r="I21" s="2" t="s">
        <v>12</v>
      </c>
    </row>
    <row r="22" customFormat="false" ht="13.8" hidden="false" customHeight="false" outlineLevel="0" collapsed="false">
      <c r="A22" s="1" t="s">
        <v>90</v>
      </c>
      <c r="B22" s="1" t="s">
        <v>91</v>
      </c>
      <c r="C22" s="1" t="s">
        <v>92</v>
      </c>
      <c r="D22" s="3" t="s">
        <v>93</v>
      </c>
      <c r="E22" s="1" t="n">
        <v>-13</v>
      </c>
      <c r="F22" s="1" t="s">
        <v>94</v>
      </c>
      <c r="I22" s="2" t="s">
        <v>12</v>
      </c>
    </row>
    <row r="23" customFormat="false" ht="13.8" hidden="false" customHeight="false" outlineLevel="0" collapsed="false">
      <c r="A23" s="1" t="s">
        <v>95</v>
      </c>
      <c r="B23" s="1" t="s">
        <v>96</v>
      </c>
      <c r="C23" s="1" t="s">
        <v>97</v>
      </c>
      <c r="D23" s="3" t="s">
        <v>66</v>
      </c>
      <c r="I23" s="2" t="s">
        <v>12</v>
      </c>
    </row>
    <row r="24" customFormat="false" ht="13.8" hidden="false" customHeight="false" outlineLevel="0" collapsed="false">
      <c r="A24" s="1" t="s">
        <v>98</v>
      </c>
      <c r="B24" s="1" t="s">
        <v>99</v>
      </c>
      <c r="C24" s="1" t="s">
        <v>100</v>
      </c>
      <c r="D24" s="3" t="s">
        <v>101</v>
      </c>
      <c r="E24" s="1" t="n">
        <v>-6</v>
      </c>
      <c r="F24" s="1" t="s">
        <v>37</v>
      </c>
      <c r="I24" s="2" t="s">
        <v>12</v>
      </c>
    </row>
    <row r="25" customFormat="false" ht="13.8" hidden="false" customHeight="false" outlineLevel="0" collapsed="false">
      <c r="A25" s="1" t="s">
        <v>102</v>
      </c>
      <c r="B25" s="1" t="s">
        <v>103</v>
      </c>
      <c r="C25" s="1" t="s">
        <v>104</v>
      </c>
      <c r="D25" s="3" t="s">
        <v>105</v>
      </c>
      <c r="E25" s="1" t="n">
        <v>-14</v>
      </c>
      <c r="F25" s="1" t="s">
        <v>106</v>
      </c>
      <c r="I25" s="2" t="s">
        <v>12</v>
      </c>
    </row>
    <row r="26" customFormat="false" ht="13.8" hidden="false" customHeight="false" outlineLevel="0" collapsed="false">
      <c r="A26" s="1" t="s">
        <v>107</v>
      </c>
      <c r="B26" s="1" t="s">
        <v>108</v>
      </c>
      <c r="C26" s="1" t="s">
        <v>109</v>
      </c>
      <c r="D26" s="3" t="s">
        <v>110</v>
      </c>
      <c r="E26" s="1" t="n">
        <v>-7</v>
      </c>
      <c r="F26" s="1" t="s">
        <v>111</v>
      </c>
      <c r="I26" s="2" t="s">
        <v>12</v>
      </c>
    </row>
    <row r="27" customFormat="false" ht="13.8" hidden="false" customHeight="false" outlineLevel="0" collapsed="false">
      <c r="A27" s="1" t="s">
        <v>112</v>
      </c>
      <c r="B27" s="1" t="s">
        <v>113</v>
      </c>
      <c r="C27" s="1" t="s">
        <v>114</v>
      </c>
      <c r="D27" s="3" t="s">
        <v>101</v>
      </c>
      <c r="E27" s="1" t="n">
        <v>-49</v>
      </c>
      <c r="F27" s="1" t="s">
        <v>22</v>
      </c>
      <c r="I27" s="2" t="s">
        <v>12</v>
      </c>
    </row>
    <row r="28" customFormat="false" ht="13.8" hidden="false" customHeight="false" outlineLevel="0" collapsed="false">
      <c r="A28" s="1" t="s">
        <v>115</v>
      </c>
      <c r="B28" s="1" t="s">
        <v>116</v>
      </c>
      <c r="C28" s="1" t="s">
        <v>117</v>
      </c>
      <c r="D28" s="3" t="s">
        <v>118</v>
      </c>
      <c r="E28" s="1" t="n">
        <v>-12</v>
      </c>
      <c r="F28" s="1" t="s">
        <v>52</v>
      </c>
      <c r="I28" s="2" t="s">
        <v>12</v>
      </c>
    </row>
    <row r="29" customFormat="false" ht="13.8" hidden="false" customHeight="false" outlineLevel="0" collapsed="false">
      <c r="A29" s="1" t="s">
        <v>119</v>
      </c>
      <c r="B29" s="1" t="s">
        <v>100</v>
      </c>
      <c r="C29" s="1" t="s">
        <v>120</v>
      </c>
      <c r="D29" s="3" t="s">
        <v>121</v>
      </c>
      <c r="E29" s="1" t="n">
        <v>-13</v>
      </c>
      <c r="F29" s="1" t="s">
        <v>52</v>
      </c>
      <c r="I29" s="2" t="s">
        <v>12</v>
      </c>
    </row>
    <row r="30" customFormat="false" ht="13.8" hidden="false" customHeight="false" outlineLevel="0" collapsed="false">
      <c r="A30" s="1" t="s">
        <v>122</v>
      </c>
      <c r="B30" s="1" t="s">
        <v>123</v>
      </c>
      <c r="C30" s="1" t="s">
        <v>25</v>
      </c>
      <c r="D30" s="3" t="s">
        <v>124</v>
      </c>
      <c r="E30" s="1" t="n">
        <v>-20</v>
      </c>
      <c r="F30" s="1" t="s">
        <v>17</v>
      </c>
      <c r="I30" s="2" t="s">
        <v>12</v>
      </c>
    </row>
    <row r="31" customFormat="false" ht="13.8" hidden="false" customHeight="false" outlineLevel="0" collapsed="false">
      <c r="A31" s="1" t="s">
        <v>125</v>
      </c>
      <c r="B31" s="1" t="s">
        <v>126</v>
      </c>
      <c r="C31" s="1" t="s">
        <v>127</v>
      </c>
      <c r="D31" s="3" t="s">
        <v>79</v>
      </c>
      <c r="I31" s="2" t="s">
        <v>12</v>
      </c>
    </row>
    <row r="32" customFormat="false" ht="13.8" hidden="false" customHeight="false" outlineLevel="0" collapsed="false">
      <c r="A32" s="1" t="s">
        <v>128</v>
      </c>
      <c r="B32" s="1" t="s">
        <v>129</v>
      </c>
      <c r="C32" s="1" t="s">
        <v>130</v>
      </c>
      <c r="D32" s="3" t="s">
        <v>131</v>
      </c>
      <c r="E32" s="1" t="n">
        <v>-9</v>
      </c>
      <c r="F32" s="1" t="s">
        <v>111</v>
      </c>
      <c r="I32" s="2" t="s">
        <v>12</v>
      </c>
    </row>
    <row r="33" customFormat="false" ht="13.8" hidden="false" customHeight="false" outlineLevel="0" collapsed="false">
      <c r="A33" s="1" t="s">
        <v>132</v>
      </c>
      <c r="B33" s="1" t="s">
        <v>133</v>
      </c>
      <c r="C33" s="1" t="s">
        <v>134</v>
      </c>
      <c r="D33" s="3" t="s">
        <v>59</v>
      </c>
      <c r="E33" s="1" t="n">
        <v>-12</v>
      </c>
      <c r="F33" s="1" t="s">
        <v>27</v>
      </c>
      <c r="I33" s="2" t="s">
        <v>12</v>
      </c>
    </row>
    <row r="34" customFormat="false" ht="13.8" hidden="false" customHeight="false" outlineLevel="0" collapsed="false">
      <c r="A34" s="1" t="s">
        <v>135</v>
      </c>
      <c r="B34" s="1" t="s">
        <v>136</v>
      </c>
      <c r="C34" s="1" t="s">
        <v>137</v>
      </c>
      <c r="D34" s="3" t="s">
        <v>138</v>
      </c>
      <c r="E34" s="1" t="n">
        <v>-9</v>
      </c>
      <c r="F34" s="1" t="s">
        <v>111</v>
      </c>
      <c r="I34" s="2" t="s">
        <v>12</v>
      </c>
    </row>
    <row r="35" customFormat="false" ht="13.8" hidden="false" customHeight="false" outlineLevel="0" collapsed="false">
      <c r="A35" s="1" t="s">
        <v>139</v>
      </c>
      <c r="B35" s="1" t="s">
        <v>140</v>
      </c>
      <c r="C35" s="1" t="s">
        <v>141</v>
      </c>
      <c r="D35" s="3" t="s">
        <v>142</v>
      </c>
      <c r="E35" s="1" t="n">
        <v>-20</v>
      </c>
      <c r="F35" s="1" t="s">
        <v>27</v>
      </c>
      <c r="I35" s="2" t="s">
        <v>12</v>
      </c>
    </row>
    <row r="36" customFormat="false" ht="13.8" hidden="false" customHeight="false" outlineLevel="0" collapsed="false">
      <c r="A36" s="1" t="s">
        <v>143</v>
      </c>
      <c r="B36" s="1" t="s">
        <v>144</v>
      </c>
      <c r="C36" s="1" t="s">
        <v>145</v>
      </c>
      <c r="D36" s="3" t="s">
        <v>142</v>
      </c>
      <c r="E36" s="1" t="n">
        <v>-32</v>
      </c>
      <c r="F36" s="1" t="s">
        <v>11</v>
      </c>
      <c r="I36" s="2" t="s">
        <v>12</v>
      </c>
    </row>
    <row r="37" customFormat="false" ht="13.8" hidden="false" customHeight="false" outlineLevel="0" collapsed="false">
      <c r="A37" s="1" t="s">
        <v>146</v>
      </c>
      <c r="B37" s="1" t="s">
        <v>147</v>
      </c>
      <c r="C37" s="1" t="s">
        <v>148</v>
      </c>
      <c r="D37" s="3" t="s">
        <v>149</v>
      </c>
      <c r="E37" s="1" t="n">
        <v>-1</v>
      </c>
      <c r="F37" s="1" t="s">
        <v>75</v>
      </c>
      <c r="I37" s="2" t="s">
        <v>12</v>
      </c>
    </row>
    <row r="38" customFormat="false" ht="13.8" hidden="false" customHeight="false" outlineLevel="0" collapsed="false">
      <c r="A38" s="1" t="s">
        <v>150</v>
      </c>
      <c r="B38" s="1" t="s">
        <v>151</v>
      </c>
      <c r="C38" s="1" t="s">
        <v>78</v>
      </c>
      <c r="D38" s="3" t="s">
        <v>93</v>
      </c>
      <c r="E38" s="1" t="n">
        <v>-2</v>
      </c>
      <c r="F38" s="1" t="s">
        <v>75</v>
      </c>
      <c r="I38" s="2" t="s">
        <v>12</v>
      </c>
    </row>
    <row r="39" customFormat="false" ht="13.8" hidden="false" customHeight="false" outlineLevel="0" collapsed="false">
      <c r="A39" s="1" t="s">
        <v>152</v>
      </c>
      <c r="B39" s="1" t="s">
        <v>153</v>
      </c>
      <c r="C39" s="1" t="s">
        <v>154</v>
      </c>
      <c r="D39" s="3" t="s">
        <v>155</v>
      </c>
      <c r="E39" s="1" t="n">
        <v>-36</v>
      </c>
      <c r="F39" s="1" t="s">
        <v>111</v>
      </c>
      <c r="I39" s="2" t="s">
        <v>12</v>
      </c>
    </row>
    <row r="40" customFormat="false" ht="13.8" hidden="false" customHeight="false" outlineLevel="0" collapsed="false">
      <c r="A40" s="1" t="s">
        <v>156</v>
      </c>
      <c r="B40" s="1" t="s">
        <v>157</v>
      </c>
      <c r="C40" s="1" t="s">
        <v>158</v>
      </c>
      <c r="D40" s="3" t="s">
        <v>10</v>
      </c>
      <c r="E40" s="1" t="n">
        <v>-2</v>
      </c>
      <c r="F40" s="1" t="s">
        <v>11</v>
      </c>
      <c r="I40" s="2" t="s">
        <v>159</v>
      </c>
    </row>
    <row r="41" customFormat="false" ht="13.8" hidden="false" customHeight="false" outlineLevel="0" collapsed="false">
      <c r="A41" s="1" t="s">
        <v>160</v>
      </c>
      <c r="B41" s="1" t="s">
        <v>161</v>
      </c>
      <c r="C41" s="1" t="s">
        <v>162</v>
      </c>
      <c r="D41" s="3" t="s">
        <v>10</v>
      </c>
      <c r="I41" s="2" t="s">
        <v>12</v>
      </c>
    </row>
    <row r="42" customFormat="false" ht="13.8" hidden="false" customHeight="false" outlineLevel="0" collapsed="false">
      <c r="A42" s="1" t="s">
        <v>163</v>
      </c>
      <c r="B42" s="1" t="s">
        <v>164</v>
      </c>
      <c r="C42" s="1" t="s">
        <v>165</v>
      </c>
      <c r="D42" s="3" t="s">
        <v>83</v>
      </c>
      <c r="I42" s="2" t="s">
        <v>12</v>
      </c>
    </row>
    <row r="43" customFormat="false" ht="13.8" hidden="false" customHeight="false" outlineLevel="0" collapsed="false">
      <c r="A43" s="1" t="s">
        <v>166</v>
      </c>
      <c r="B43" s="1" t="s">
        <v>167</v>
      </c>
      <c r="C43" s="1" t="s">
        <v>168</v>
      </c>
      <c r="D43" s="3" t="s">
        <v>169</v>
      </c>
      <c r="I43" s="2" t="s">
        <v>12</v>
      </c>
    </row>
    <row r="44" customFormat="false" ht="13.8" hidden="false" customHeight="false" outlineLevel="0" collapsed="false">
      <c r="A44" s="1" t="s">
        <v>170</v>
      </c>
      <c r="B44" s="1" t="s">
        <v>171</v>
      </c>
      <c r="C44" s="1" t="s">
        <v>172</v>
      </c>
      <c r="D44" s="3" t="s">
        <v>66</v>
      </c>
      <c r="I44" s="2" t="s">
        <v>12</v>
      </c>
    </row>
    <row r="45" customFormat="false" ht="13.8" hidden="false" customHeight="false" outlineLevel="0" collapsed="false">
      <c r="A45" s="1" t="s">
        <v>170</v>
      </c>
      <c r="B45" s="1" t="s">
        <v>171</v>
      </c>
      <c r="C45" s="1" t="s">
        <v>172</v>
      </c>
      <c r="D45" s="3" t="s">
        <v>66</v>
      </c>
      <c r="I45" s="2" t="s">
        <v>12</v>
      </c>
    </row>
    <row r="46" customFormat="false" ht="13.8" hidden="false" customHeight="false" outlineLevel="0" collapsed="false">
      <c r="A46" s="1" t="s">
        <v>173</v>
      </c>
      <c r="B46" s="1" t="s">
        <v>174</v>
      </c>
      <c r="C46" s="1" t="s">
        <v>175</v>
      </c>
      <c r="D46" s="3" t="s">
        <v>176</v>
      </c>
      <c r="I46" s="2" t="s">
        <v>12</v>
      </c>
    </row>
    <row r="47" customFormat="false" ht="13.8" hidden="false" customHeight="false" outlineLevel="0" collapsed="false">
      <c r="A47" s="1" t="s">
        <v>177</v>
      </c>
      <c r="B47" s="1" t="s">
        <v>15</v>
      </c>
      <c r="C47" s="1" t="s">
        <v>178</v>
      </c>
      <c r="D47" s="3" t="s">
        <v>169</v>
      </c>
      <c r="I47" s="2" t="s">
        <v>12</v>
      </c>
    </row>
    <row r="48" customFormat="false" ht="13.8" hidden="false" customHeight="false" outlineLevel="0" collapsed="false">
      <c r="A48" s="1" t="s">
        <v>179</v>
      </c>
      <c r="B48" s="1" t="s">
        <v>180</v>
      </c>
      <c r="C48" s="1" t="s">
        <v>181</v>
      </c>
      <c r="D48" s="3" t="s">
        <v>69</v>
      </c>
      <c r="I48" s="2" t="s">
        <v>12</v>
      </c>
    </row>
    <row r="49" customFormat="false" ht="13.8" hidden="false" customHeight="false" outlineLevel="0" collapsed="false">
      <c r="A49" s="1" t="s">
        <v>182</v>
      </c>
      <c r="B49" s="1" t="s">
        <v>183</v>
      </c>
      <c r="C49" s="1" t="s">
        <v>184</v>
      </c>
      <c r="D49" s="3" t="s">
        <v>83</v>
      </c>
      <c r="I49" s="2" t="s">
        <v>12</v>
      </c>
    </row>
    <row r="50" customFormat="false" ht="13.8" hidden="false" customHeight="false" outlineLevel="0" collapsed="false">
      <c r="A50" s="1" t="s">
        <v>185</v>
      </c>
      <c r="B50" s="1" t="s">
        <v>186</v>
      </c>
      <c r="C50" s="1" t="s">
        <v>187</v>
      </c>
      <c r="D50" s="3" t="s">
        <v>10</v>
      </c>
      <c r="I50" s="2" t="s">
        <v>12</v>
      </c>
    </row>
    <row r="51" customFormat="false" ht="13.8" hidden="false" customHeight="false" outlineLevel="0" collapsed="false">
      <c r="A51" s="1" t="s">
        <v>188</v>
      </c>
      <c r="B51" s="1" t="s">
        <v>189</v>
      </c>
      <c r="C51" s="1" t="s">
        <v>190</v>
      </c>
      <c r="D51" s="3" t="s">
        <v>191</v>
      </c>
      <c r="I51" s="2" t="s">
        <v>12</v>
      </c>
    </row>
    <row r="52" customFormat="false" ht="13.8" hidden="false" customHeight="false" outlineLevel="0" collapsed="false">
      <c r="A52" s="1" t="s">
        <v>192</v>
      </c>
      <c r="B52" s="1" t="s">
        <v>193</v>
      </c>
      <c r="C52" s="1" t="s">
        <v>194</v>
      </c>
      <c r="D52" s="3" t="s">
        <v>169</v>
      </c>
      <c r="I52" s="2" t="s">
        <v>12</v>
      </c>
    </row>
    <row r="53" customFormat="false" ht="13.8" hidden="false" customHeight="false" outlineLevel="0" collapsed="false">
      <c r="A53" s="1" t="s">
        <v>195</v>
      </c>
      <c r="B53" s="1" t="s">
        <v>196</v>
      </c>
      <c r="C53" s="1" t="s">
        <v>197</v>
      </c>
      <c r="D53" s="3" t="s">
        <v>176</v>
      </c>
      <c r="I53" s="2" t="s">
        <v>12</v>
      </c>
    </row>
    <row r="54" customFormat="false" ht="13.8" hidden="false" customHeight="false" outlineLevel="0" collapsed="false">
      <c r="A54" s="1" t="s">
        <v>198</v>
      </c>
      <c r="B54" s="1" t="s">
        <v>193</v>
      </c>
      <c r="C54" s="1" t="s">
        <v>199</v>
      </c>
      <c r="D54" s="3" t="s">
        <v>200</v>
      </c>
      <c r="I54" s="2" t="s">
        <v>12</v>
      </c>
    </row>
    <row r="55" customFormat="false" ht="13.8" hidden="false" customHeight="false" outlineLevel="0" collapsed="false">
      <c r="A55" s="1" t="s">
        <v>201</v>
      </c>
      <c r="B55" s="1" t="s">
        <v>202</v>
      </c>
      <c r="C55" s="1" t="s">
        <v>203</v>
      </c>
      <c r="D55" s="3" t="s">
        <v>204</v>
      </c>
      <c r="I55" s="2" t="s">
        <v>12</v>
      </c>
    </row>
    <row r="56" customFormat="false" ht="13.8" hidden="false" customHeight="false" outlineLevel="0" collapsed="false">
      <c r="A56" s="1" t="s">
        <v>205</v>
      </c>
      <c r="B56" s="1" t="s">
        <v>54</v>
      </c>
      <c r="C56" s="1" t="s">
        <v>206</v>
      </c>
      <c r="D56" s="3" t="s">
        <v>155</v>
      </c>
      <c r="I56" s="2" t="s">
        <v>12</v>
      </c>
    </row>
    <row r="57" customFormat="false" ht="13.8" hidden="false" customHeight="false" outlineLevel="0" collapsed="false">
      <c r="A57" s="1" t="s">
        <v>207</v>
      </c>
      <c r="B57" s="1" t="s">
        <v>208</v>
      </c>
      <c r="C57" s="1" t="s">
        <v>209</v>
      </c>
      <c r="D57" s="3" t="s">
        <v>51</v>
      </c>
      <c r="I57" s="2" t="s">
        <v>12</v>
      </c>
    </row>
    <row r="58" customFormat="false" ht="13.8" hidden="false" customHeight="false" outlineLevel="0" collapsed="false">
      <c r="A58" s="1" t="s">
        <v>210</v>
      </c>
      <c r="B58" s="1" t="s">
        <v>211</v>
      </c>
      <c r="C58" s="1" t="s">
        <v>206</v>
      </c>
      <c r="D58" s="3" t="s">
        <v>138</v>
      </c>
      <c r="I58" s="2" t="s">
        <v>12</v>
      </c>
    </row>
    <row r="59" customFormat="false" ht="13.8" hidden="false" customHeight="false" outlineLevel="0" collapsed="false">
      <c r="A59" s="1" t="s">
        <v>212</v>
      </c>
      <c r="B59" s="1" t="s">
        <v>54</v>
      </c>
      <c r="C59" s="1" t="s">
        <v>213</v>
      </c>
      <c r="D59" s="3" t="s">
        <v>83</v>
      </c>
      <c r="I59" s="2" t="s">
        <v>12</v>
      </c>
    </row>
    <row r="60" customFormat="false" ht="13.8" hidden="false" customHeight="false" outlineLevel="0" collapsed="false">
      <c r="A60" s="1" t="s">
        <v>214</v>
      </c>
      <c r="B60" s="1" t="s">
        <v>215</v>
      </c>
      <c r="C60" s="1" t="s">
        <v>216</v>
      </c>
      <c r="D60" s="3" t="s">
        <v>142</v>
      </c>
      <c r="I60" s="2" t="s">
        <v>12</v>
      </c>
    </row>
    <row r="61" customFormat="false" ht="13.8" hidden="false" customHeight="false" outlineLevel="0" collapsed="false">
      <c r="A61" s="1" t="s">
        <v>207</v>
      </c>
      <c r="B61" s="1" t="s">
        <v>217</v>
      </c>
      <c r="C61" s="1" t="s">
        <v>218</v>
      </c>
      <c r="D61" s="3" t="s">
        <v>47</v>
      </c>
      <c r="I61" s="2" t="s">
        <v>12</v>
      </c>
    </row>
    <row r="62" customFormat="false" ht="13.8" hidden="false" customHeight="false" outlineLevel="0" collapsed="false">
      <c r="A62" s="1" t="s">
        <v>219</v>
      </c>
      <c r="B62" s="1" t="s">
        <v>220</v>
      </c>
      <c r="C62" s="1" t="s">
        <v>221</v>
      </c>
      <c r="D62" s="3" t="s">
        <v>222</v>
      </c>
      <c r="E62" s="1" t="n">
        <v>-6</v>
      </c>
      <c r="F62" s="1" t="s">
        <v>223</v>
      </c>
      <c r="I62" s="2" t="s">
        <v>12</v>
      </c>
    </row>
    <row r="63" customFormat="false" ht="13.8" hidden="false" customHeight="false" outlineLevel="0" collapsed="false">
      <c r="A63" s="1" t="s">
        <v>224</v>
      </c>
      <c r="B63" s="1" t="s">
        <v>225</v>
      </c>
      <c r="C63" s="1" t="s">
        <v>226</v>
      </c>
      <c r="D63" s="3" t="s">
        <v>110</v>
      </c>
      <c r="E63" s="1" t="n">
        <v>-10</v>
      </c>
      <c r="F63" s="1" t="s">
        <v>227</v>
      </c>
      <c r="I63" s="2" t="s">
        <v>12</v>
      </c>
    </row>
    <row r="64" customFormat="false" ht="13.8" hidden="false" customHeight="false" outlineLevel="0" collapsed="false">
      <c r="A64" s="1" t="s">
        <v>228</v>
      </c>
      <c r="B64" s="1" t="s">
        <v>229</v>
      </c>
      <c r="C64" s="1" t="s">
        <v>230</v>
      </c>
      <c r="D64" s="3" t="s">
        <v>47</v>
      </c>
      <c r="E64" s="1" t="n">
        <v>-13</v>
      </c>
      <c r="F64" s="1" t="s">
        <v>231</v>
      </c>
      <c r="I64" s="2" t="s">
        <v>12</v>
      </c>
    </row>
    <row r="65" customFormat="false" ht="13.8" hidden="false" customHeight="false" outlineLevel="0" collapsed="false">
      <c r="A65" s="1" t="s">
        <v>232</v>
      </c>
      <c r="B65" s="1" t="s">
        <v>233</v>
      </c>
      <c r="C65" s="1" t="s">
        <v>234</v>
      </c>
      <c r="D65" s="3" t="s">
        <v>83</v>
      </c>
      <c r="E65" s="1" t="n">
        <v>-69</v>
      </c>
      <c r="F65" s="1" t="s">
        <v>235</v>
      </c>
      <c r="I65" s="2" t="s">
        <v>12</v>
      </c>
    </row>
    <row r="66" customFormat="false" ht="13.8" hidden="false" customHeight="false" outlineLevel="0" collapsed="false">
      <c r="A66" s="1" t="s">
        <v>236</v>
      </c>
      <c r="B66" s="1" t="s">
        <v>237</v>
      </c>
      <c r="C66" s="1" t="s">
        <v>238</v>
      </c>
      <c r="D66" s="3" t="s">
        <v>131</v>
      </c>
      <c r="E66" s="1" t="n">
        <v>-15</v>
      </c>
      <c r="F66" s="1" t="s">
        <v>239</v>
      </c>
      <c r="I66" s="2" t="s">
        <v>12</v>
      </c>
    </row>
    <row r="67" customFormat="false" ht="13.8" hidden="false" customHeight="false" outlineLevel="0" collapsed="false">
      <c r="A67" s="1" t="s">
        <v>240</v>
      </c>
      <c r="B67" s="1" t="s">
        <v>241</v>
      </c>
      <c r="C67" s="1" t="s">
        <v>242</v>
      </c>
      <c r="D67" s="3" t="s">
        <v>200</v>
      </c>
      <c r="E67" s="1" t="n">
        <v>-16</v>
      </c>
      <c r="F67" s="1" t="s">
        <v>243</v>
      </c>
      <c r="I67" s="2" t="s">
        <v>12</v>
      </c>
    </row>
    <row r="68" customFormat="false" ht="13.8" hidden="false" customHeight="false" outlineLevel="0" collapsed="false">
      <c r="A68" s="1" t="s">
        <v>244</v>
      </c>
      <c r="B68" s="1" t="s">
        <v>57</v>
      </c>
      <c r="C68" s="1" t="s">
        <v>245</v>
      </c>
      <c r="D68" s="3" t="s">
        <v>51</v>
      </c>
      <c r="E68" s="1" t="n">
        <v>-6</v>
      </c>
      <c r="F68" s="1" t="s">
        <v>246</v>
      </c>
      <c r="I68" s="2" t="s">
        <v>12</v>
      </c>
    </row>
    <row r="69" customFormat="false" ht="13.8" hidden="false" customHeight="false" outlineLevel="0" collapsed="false">
      <c r="A69" s="1" t="s">
        <v>247</v>
      </c>
      <c r="B69" s="1" t="s">
        <v>248</v>
      </c>
      <c r="C69" s="1" t="s">
        <v>178</v>
      </c>
      <c r="D69" s="3" t="s">
        <v>169</v>
      </c>
      <c r="E69" s="1" t="n">
        <v>-7</v>
      </c>
      <c r="F69" s="1" t="s">
        <v>249</v>
      </c>
      <c r="I69" s="2" t="s">
        <v>12</v>
      </c>
    </row>
    <row r="70" customFormat="false" ht="13.8" hidden="false" customHeight="false" outlineLevel="0" collapsed="false">
      <c r="A70" s="1" t="s">
        <v>250</v>
      </c>
      <c r="B70" s="1" t="s">
        <v>251</v>
      </c>
      <c r="C70" s="1" t="s">
        <v>252</v>
      </c>
      <c r="D70" s="3" t="s">
        <v>253</v>
      </c>
      <c r="E70" s="1" t="n">
        <v>-5</v>
      </c>
      <c r="F70" s="1" t="s">
        <v>227</v>
      </c>
      <c r="I70" s="2" t="s">
        <v>12</v>
      </c>
    </row>
    <row r="71" customFormat="false" ht="13.8" hidden="false" customHeight="false" outlineLevel="0" collapsed="false">
      <c r="A71" s="1" t="s">
        <v>254</v>
      </c>
      <c r="B71" s="1" t="s">
        <v>130</v>
      </c>
      <c r="C71" s="1" t="s">
        <v>255</v>
      </c>
      <c r="D71" s="3" t="s">
        <v>51</v>
      </c>
      <c r="E71" s="1" t="n">
        <v>-17</v>
      </c>
      <c r="F71" s="1" t="s">
        <v>256</v>
      </c>
      <c r="I71" s="2" t="s">
        <v>12</v>
      </c>
    </row>
    <row r="72" customFormat="false" ht="13.8" hidden="false" customHeight="false" outlineLevel="0" collapsed="false">
      <c r="A72" s="1" t="s">
        <v>257</v>
      </c>
      <c r="B72" s="1" t="s">
        <v>258</v>
      </c>
      <c r="C72" s="1" t="s">
        <v>259</v>
      </c>
      <c r="D72" s="3" t="s">
        <v>260</v>
      </c>
      <c r="E72" s="1" t="n">
        <v>-5</v>
      </c>
      <c r="F72" s="1" t="s">
        <v>227</v>
      </c>
      <c r="I72" s="2" t="s">
        <v>12</v>
      </c>
    </row>
    <row r="73" customFormat="false" ht="13.8" hidden="false" customHeight="false" outlineLevel="0" collapsed="false">
      <c r="A73" s="1" t="s">
        <v>261</v>
      </c>
      <c r="B73" s="1" t="s">
        <v>262</v>
      </c>
      <c r="C73" s="1" t="s">
        <v>263</v>
      </c>
      <c r="D73" s="3" t="s">
        <v>264</v>
      </c>
      <c r="E73" s="1" t="n">
        <v>-6</v>
      </c>
      <c r="F73" s="1" t="s">
        <v>249</v>
      </c>
      <c r="I73" s="2" t="s">
        <v>12</v>
      </c>
    </row>
    <row r="74" customFormat="false" ht="13.8" hidden="false" customHeight="false" outlineLevel="0" collapsed="false">
      <c r="A74" s="1" t="s">
        <v>265</v>
      </c>
      <c r="B74" s="1" t="s">
        <v>266</v>
      </c>
      <c r="C74" s="1" t="s">
        <v>267</v>
      </c>
      <c r="D74" s="3" t="s">
        <v>264</v>
      </c>
      <c r="E74" s="1" t="n">
        <v>-5</v>
      </c>
      <c r="F74" s="1" t="s">
        <v>227</v>
      </c>
      <c r="I74" s="2" t="s">
        <v>12</v>
      </c>
    </row>
    <row r="75" customFormat="false" ht="13.8" hidden="false" customHeight="false" outlineLevel="0" collapsed="false">
      <c r="A75" s="1" t="s">
        <v>268</v>
      </c>
      <c r="B75" s="1" t="s">
        <v>269</v>
      </c>
      <c r="C75" s="1" t="s">
        <v>245</v>
      </c>
      <c r="D75" s="3" t="s">
        <v>16</v>
      </c>
      <c r="E75" s="1" t="n">
        <v>-6</v>
      </c>
      <c r="F75" s="1" t="s">
        <v>246</v>
      </c>
      <c r="I75" s="2" t="s">
        <v>12</v>
      </c>
    </row>
    <row r="76" customFormat="false" ht="13.8" hidden="false" customHeight="false" outlineLevel="0" collapsed="false">
      <c r="A76" s="1" t="s">
        <v>270</v>
      </c>
      <c r="B76" s="1" t="s">
        <v>271</v>
      </c>
      <c r="C76" s="1" t="s">
        <v>272</v>
      </c>
      <c r="D76" s="3" t="s">
        <v>16</v>
      </c>
      <c r="E76" s="1" t="n">
        <v>-7</v>
      </c>
      <c r="F76" s="1" t="s">
        <v>231</v>
      </c>
      <c r="I76" s="2" t="s">
        <v>12</v>
      </c>
    </row>
    <row r="77" customFormat="false" ht="13.8" hidden="false" customHeight="false" outlineLevel="0" collapsed="false">
      <c r="A77" s="1" t="s">
        <v>273</v>
      </c>
      <c r="B77" s="1" t="s">
        <v>274</v>
      </c>
      <c r="C77" s="1" t="s">
        <v>275</v>
      </c>
      <c r="D77" s="3" t="s">
        <v>16</v>
      </c>
      <c r="I77" s="2" t="s">
        <v>12</v>
      </c>
    </row>
    <row r="78" customFormat="false" ht="13.8" hidden="false" customHeight="false" outlineLevel="0" collapsed="false">
      <c r="A78" s="1" t="s">
        <v>276</v>
      </c>
      <c r="B78" s="1" t="s">
        <v>277</v>
      </c>
      <c r="C78" s="1" t="s">
        <v>186</v>
      </c>
      <c r="D78" s="3" t="s">
        <v>264</v>
      </c>
      <c r="I78" s="2" t="s">
        <v>12</v>
      </c>
    </row>
    <row r="79" customFormat="false" ht="13.8" hidden="false" customHeight="false" outlineLevel="0" collapsed="false">
      <c r="A79" s="1" t="s">
        <v>278</v>
      </c>
      <c r="B79" s="1" t="s">
        <v>279</v>
      </c>
      <c r="C79" s="1" t="s">
        <v>280</v>
      </c>
      <c r="D79" s="3" t="s">
        <v>281</v>
      </c>
      <c r="I79" s="2" t="s">
        <v>12</v>
      </c>
    </row>
    <row r="80" customFormat="false" ht="13.8" hidden="false" customHeight="false" outlineLevel="0" collapsed="false">
      <c r="A80" s="1" t="s">
        <v>282</v>
      </c>
      <c r="B80" s="1" t="s">
        <v>283</v>
      </c>
      <c r="C80" s="1" t="s">
        <v>284</v>
      </c>
      <c r="D80" s="3" t="s">
        <v>83</v>
      </c>
      <c r="I80" s="2" t="s">
        <v>12</v>
      </c>
    </row>
    <row r="81" customFormat="false" ht="13.8" hidden="false" customHeight="false" outlineLevel="0" collapsed="false">
      <c r="A81" s="1" t="s">
        <v>285</v>
      </c>
      <c r="B81" s="1" t="s">
        <v>286</v>
      </c>
      <c r="C81" s="1" t="s">
        <v>19</v>
      </c>
      <c r="D81" s="3" t="s">
        <v>79</v>
      </c>
      <c r="E81" s="1" t="n">
        <v>-1</v>
      </c>
      <c r="F81" s="1" t="s">
        <v>227</v>
      </c>
      <c r="I81" s="2" t="s">
        <v>12</v>
      </c>
    </row>
    <row r="82" customFormat="false" ht="13.8" hidden="false" customHeight="false" outlineLevel="0" collapsed="false">
      <c r="A82" s="1" t="s">
        <v>287</v>
      </c>
      <c r="B82" s="1" t="s">
        <v>288</v>
      </c>
      <c r="C82" s="1" t="s">
        <v>289</v>
      </c>
      <c r="D82" s="3" t="s">
        <v>83</v>
      </c>
      <c r="E82" s="1" t="n">
        <v>-1</v>
      </c>
      <c r="F82" s="1" t="s">
        <v>75</v>
      </c>
      <c r="I82" s="2" t="s">
        <v>12</v>
      </c>
    </row>
    <row r="83" customFormat="false" ht="13.8" hidden="false" customHeight="false" outlineLevel="0" collapsed="false">
      <c r="A83" s="1" t="s">
        <v>290</v>
      </c>
      <c r="B83" s="1" t="s">
        <v>291</v>
      </c>
      <c r="C83" s="1" t="s">
        <v>292</v>
      </c>
      <c r="D83" s="3" t="s">
        <v>293</v>
      </c>
      <c r="I83" s="2" t="s">
        <v>12</v>
      </c>
    </row>
    <row r="84" customFormat="false" ht="13.8" hidden="false" customHeight="false" outlineLevel="0" collapsed="false">
      <c r="A84" s="1" t="s">
        <v>294</v>
      </c>
      <c r="B84" s="1" t="s">
        <v>295</v>
      </c>
      <c r="C84" s="1" t="s">
        <v>197</v>
      </c>
      <c r="D84" s="3" t="s">
        <v>176</v>
      </c>
      <c r="I84" s="2" t="s">
        <v>12</v>
      </c>
    </row>
    <row r="85" customFormat="false" ht="13.8" hidden="false" customHeight="false" outlineLevel="0" collapsed="false">
      <c r="A85" s="1" t="s">
        <v>296</v>
      </c>
      <c r="B85" s="1" t="s">
        <v>297</v>
      </c>
      <c r="C85" s="1" t="s">
        <v>114</v>
      </c>
      <c r="D85" s="3" t="s">
        <v>83</v>
      </c>
      <c r="E85" s="1" t="n">
        <v>-1</v>
      </c>
      <c r="F85" s="1" t="s">
        <v>37</v>
      </c>
      <c r="I85" s="2" t="s">
        <v>12</v>
      </c>
    </row>
    <row r="86" customFormat="false" ht="13.8" hidden="false" customHeight="false" outlineLevel="0" collapsed="false">
      <c r="A86" s="1" t="s">
        <v>170</v>
      </c>
      <c r="B86" s="1" t="s">
        <v>171</v>
      </c>
      <c r="C86" s="1" t="s">
        <v>172</v>
      </c>
      <c r="D86" s="3" t="s">
        <v>66</v>
      </c>
      <c r="I86" s="2" t="s">
        <v>12</v>
      </c>
    </row>
    <row r="87" customFormat="false" ht="13.8" hidden="false" customHeight="false" outlineLevel="0" collapsed="false">
      <c r="A87" s="1" t="s">
        <v>188</v>
      </c>
      <c r="B87" s="1" t="s">
        <v>298</v>
      </c>
      <c r="C87" s="1" t="s">
        <v>262</v>
      </c>
      <c r="D87" s="3" t="s">
        <v>83</v>
      </c>
      <c r="I87" s="2" t="s">
        <v>12</v>
      </c>
    </row>
    <row r="88" customFormat="false" ht="13.8" hidden="false" customHeight="false" outlineLevel="0" collapsed="false">
      <c r="A88" s="1" t="s">
        <v>299</v>
      </c>
      <c r="B88" s="1" t="s">
        <v>300</v>
      </c>
      <c r="C88" s="1" t="s">
        <v>197</v>
      </c>
      <c r="D88" s="3" t="s">
        <v>301</v>
      </c>
      <c r="I88" s="2" t="s">
        <v>12</v>
      </c>
    </row>
    <row r="89" customFormat="false" ht="13.8" hidden="false" customHeight="false" outlineLevel="0" collapsed="false">
      <c r="A89" s="1" t="s">
        <v>302</v>
      </c>
      <c r="B89" s="1" t="s">
        <v>303</v>
      </c>
      <c r="C89" s="1" t="s">
        <v>304</v>
      </c>
      <c r="D89" s="3" t="s">
        <v>83</v>
      </c>
      <c r="I89" s="2" t="s">
        <v>12</v>
      </c>
    </row>
    <row r="90" customFormat="false" ht="13.8" hidden="false" customHeight="false" outlineLevel="0" collapsed="false">
      <c r="A90" s="1" t="s">
        <v>305</v>
      </c>
      <c r="B90" s="1" t="s">
        <v>54</v>
      </c>
      <c r="C90" s="1" t="s">
        <v>209</v>
      </c>
      <c r="D90" s="3" t="s">
        <v>306</v>
      </c>
      <c r="I90" s="2" t="s">
        <v>12</v>
      </c>
    </row>
    <row r="91" customFormat="false" ht="13.8" hidden="false" customHeight="false" outlineLevel="0" collapsed="false">
      <c r="A91" s="1" t="s">
        <v>212</v>
      </c>
      <c r="B91" s="1" t="s">
        <v>307</v>
      </c>
      <c r="C91" s="1" t="s">
        <v>308</v>
      </c>
      <c r="D91" s="3" t="s">
        <v>83</v>
      </c>
      <c r="I91" s="2" t="s">
        <v>12</v>
      </c>
    </row>
    <row r="92" customFormat="false" ht="13.8" hidden="false" customHeight="false" outlineLevel="0" collapsed="false">
      <c r="A92" s="1" t="s">
        <v>309</v>
      </c>
      <c r="B92" s="1" t="s">
        <v>310</v>
      </c>
      <c r="C92" s="1" t="s">
        <v>197</v>
      </c>
      <c r="D92" s="3" t="s">
        <v>301</v>
      </c>
      <c r="I92" s="2" t="s">
        <v>12</v>
      </c>
    </row>
    <row r="93" customFormat="false" ht="13.8" hidden="false" customHeight="false" outlineLevel="0" collapsed="false">
      <c r="A93" s="1" t="s">
        <v>311</v>
      </c>
      <c r="B93" s="1" t="s">
        <v>312</v>
      </c>
      <c r="C93" s="1" t="s">
        <v>313</v>
      </c>
      <c r="D93" s="3" t="s">
        <v>264</v>
      </c>
      <c r="I93" s="2" t="s">
        <v>12</v>
      </c>
    </row>
    <row r="94" customFormat="false" ht="13.8" hidden="false" customHeight="false" outlineLevel="0" collapsed="false">
      <c r="A94" s="1" t="s">
        <v>314</v>
      </c>
      <c r="B94" s="1" t="s">
        <v>315</v>
      </c>
      <c r="C94" s="1" t="s">
        <v>316</v>
      </c>
      <c r="D94" s="3" t="s">
        <v>169</v>
      </c>
      <c r="I94" s="2" t="s">
        <v>12</v>
      </c>
    </row>
    <row r="95" customFormat="false" ht="13.8" hidden="false" customHeight="false" outlineLevel="0" collapsed="false">
      <c r="A95" s="1" t="s">
        <v>317</v>
      </c>
      <c r="B95" s="1" t="s">
        <v>318</v>
      </c>
      <c r="C95" s="1" t="s">
        <v>221</v>
      </c>
      <c r="D95" s="3" t="s">
        <v>138</v>
      </c>
      <c r="I95" s="2" t="s">
        <v>12</v>
      </c>
    </row>
    <row r="96" customFormat="false" ht="13.8" hidden="false" customHeight="false" outlineLevel="0" collapsed="false">
      <c r="A96" s="1" t="s">
        <v>319</v>
      </c>
      <c r="B96" s="1" t="s">
        <v>320</v>
      </c>
      <c r="C96" s="1" t="s">
        <v>321</v>
      </c>
      <c r="D96" s="3" t="s">
        <v>138</v>
      </c>
      <c r="I96" s="2" t="s">
        <v>12</v>
      </c>
    </row>
    <row r="97" customFormat="false" ht="13.8" hidden="false" customHeight="false" outlineLevel="0" collapsed="false">
      <c r="A97" s="1" t="s">
        <v>322</v>
      </c>
      <c r="B97" s="1" t="s">
        <v>267</v>
      </c>
      <c r="C97" s="1" t="s">
        <v>197</v>
      </c>
      <c r="D97" s="3" t="s">
        <v>16</v>
      </c>
      <c r="I97" s="2" t="s">
        <v>12</v>
      </c>
    </row>
    <row r="98" customFormat="false" ht="13.8" hidden="false" customHeight="false" outlineLevel="0" collapsed="false">
      <c r="A98" s="1" t="s">
        <v>322</v>
      </c>
      <c r="B98" s="1" t="s">
        <v>267</v>
      </c>
      <c r="C98" s="1" t="s">
        <v>197</v>
      </c>
      <c r="D98" s="3" t="s">
        <v>16</v>
      </c>
      <c r="I98" s="2" t="s">
        <v>12</v>
      </c>
    </row>
    <row r="99" customFormat="false" ht="13.8" hidden="false" customHeight="false" outlineLevel="0" collapsed="false">
      <c r="A99" s="1" t="s">
        <v>323</v>
      </c>
      <c r="B99" s="1" t="s">
        <v>186</v>
      </c>
      <c r="C99" s="1" t="s">
        <v>324</v>
      </c>
      <c r="D99" s="3" t="s">
        <v>169</v>
      </c>
      <c r="I99" s="2" t="s">
        <v>12</v>
      </c>
    </row>
    <row r="100" customFormat="false" ht="13.8" hidden="false" customHeight="false" outlineLevel="0" collapsed="false">
      <c r="A100" s="1" t="s">
        <v>325</v>
      </c>
      <c r="B100" s="1" t="s">
        <v>326</v>
      </c>
      <c r="C100" s="1" t="s">
        <v>196</v>
      </c>
      <c r="D100" s="3" t="s">
        <v>327</v>
      </c>
      <c r="I100" s="2" t="s">
        <v>12</v>
      </c>
    </row>
    <row r="101" customFormat="false" ht="13.8" hidden="false" customHeight="false" outlineLevel="0" collapsed="false">
      <c r="A101" s="1" t="s">
        <v>328</v>
      </c>
      <c r="B101" s="1" t="s">
        <v>329</v>
      </c>
      <c r="C101" s="1" t="s">
        <v>203</v>
      </c>
      <c r="D101" s="3" t="s">
        <v>176</v>
      </c>
      <c r="I101" s="2" t="s">
        <v>12</v>
      </c>
    </row>
    <row r="102" customFormat="false" ht="13.8" hidden="false" customHeight="false" outlineLevel="0" collapsed="false">
      <c r="A102" s="1" t="s">
        <v>330</v>
      </c>
      <c r="B102" s="1" t="s">
        <v>331</v>
      </c>
      <c r="C102" s="1" t="s">
        <v>332</v>
      </c>
      <c r="D102" s="3" t="s">
        <v>83</v>
      </c>
      <c r="I102" s="2" t="s">
        <v>12</v>
      </c>
    </row>
    <row r="103" customFormat="false" ht="13.8" hidden="false" customHeight="false" outlineLevel="0" collapsed="false">
      <c r="A103" s="1" t="s">
        <v>333</v>
      </c>
      <c r="B103" s="1" t="s">
        <v>334</v>
      </c>
      <c r="C103" s="1" t="s">
        <v>85</v>
      </c>
      <c r="D103" s="3" t="s">
        <v>281</v>
      </c>
      <c r="I103" s="2" t="s">
        <v>12</v>
      </c>
    </row>
    <row r="104" customFormat="false" ht="13.8" hidden="false" customHeight="false" outlineLevel="0" collapsed="false">
      <c r="A104" s="1" t="s">
        <v>335</v>
      </c>
      <c r="B104" s="1" t="s">
        <v>336</v>
      </c>
      <c r="C104" s="1" t="s">
        <v>337</v>
      </c>
      <c r="D104" s="3" t="s">
        <v>83</v>
      </c>
      <c r="I104" s="2" t="s">
        <v>12</v>
      </c>
    </row>
    <row r="105" customFormat="false" ht="13.8" hidden="false" customHeight="false" outlineLevel="0" collapsed="false">
      <c r="A105" s="1" t="s">
        <v>338</v>
      </c>
      <c r="B105" s="1" t="s">
        <v>339</v>
      </c>
      <c r="C105" s="1" t="s">
        <v>340</v>
      </c>
      <c r="D105" s="3" t="s">
        <v>66</v>
      </c>
      <c r="I105" s="2" t="s">
        <v>12</v>
      </c>
    </row>
    <row r="106" customFormat="false" ht="13.8" hidden="false" customHeight="false" outlineLevel="0" collapsed="false">
      <c r="A106" s="1" t="s">
        <v>341</v>
      </c>
      <c r="B106" s="1" t="s">
        <v>342</v>
      </c>
      <c r="C106" s="1" t="s">
        <v>343</v>
      </c>
      <c r="D106" s="3" t="s">
        <v>344</v>
      </c>
      <c r="E106" s="1" t="n">
        <v>-1</v>
      </c>
      <c r="F106" s="1" t="s">
        <v>75</v>
      </c>
      <c r="I106" s="2" t="s">
        <v>12</v>
      </c>
    </row>
    <row r="107" customFormat="false" ht="13.8" hidden="false" customHeight="false" outlineLevel="0" collapsed="false">
      <c r="A107" s="1" t="s">
        <v>345</v>
      </c>
      <c r="B107" s="1" t="s">
        <v>346</v>
      </c>
      <c r="C107" s="1" t="s">
        <v>347</v>
      </c>
      <c r="D107" s="3" t="s">
        <v>155</v>
      </c>
      <c r="I107" s="2" t="s">
        <v>12</v>
      </c>
    </row>
    <row r="108" customFormat="false" ht="13.8" hidden="false" customHeight="false" outlineLevel="0" collapsed="false">
      <c r="A108" s="1" t="s">
        <v>348</v>
      </c>
      <c r="B108" s="1" t="s">
        <v>349</v>
      </c>
      <c r="C108" s="1" t="s">
        <v>350</v>
      </c>
      <c r="D108" s="3" t="s">
        <v>351</v>
      </c>
      <c r="I108" s="2" t="s">
        <v>12</v>
      </c>
    </row>
    <row r="109" customFormat="false" ht="13.8" hidden="false" customHeight="false" outlineLevel="0" collapsed="false">
      <c r="A109" s="1" t="s">
        <v>352</v>
      </c>
      <c r="B109" s="1" t="s">
        <v>353</v>
      </c>
      <c r="C109" s="1" t="s">
        <v>354</v>
      </c>
      <c r="D109" s="3" t="s">
        <v>41</v>
      </c>
      <c r="I109" s="2" t="s">
        <v>12</v>
      </c>
    </row>
    <row r="110" customFormat="false" ht="13.8" hidden="false" customHeight="false" outlineLevel="0" collapsed="false">
      <c r="A110" s="1" t="s">
        <v>355</v>
      </c>
      <c r="B110" s="1" t="s">
        <v>356</v>
      </c>
      <c r="C110" s="1" t="s">
        <v>357</v>
      </c>
      <c r="D110" s="3" t="s">
        <v>59</v>
      </c>
      <c r="I110" s="2" t="s">
        <v>12</v>
      </c>
    </row>
    <row r="111" customFormat="false" ht="13.8" hidden="false" customHeight="false" outlineLevel="0" collapsed="false">
      <c r="A111" s="1" t="s">
        <v>358</v>
      </c>
      <c r="B111" s="1" t="s">
        <v>180</v>
      </c>
      <c r="C111" s="1" t="s">
        <v>359</v>
      </c>
      <c r="D111" s="3" t="s">
        <v>59</v>
      </c>
      <c r="I111" s="2" t="s">
        <v>12</v>
      </c>
    </row>
    <row r="112" customFormat="false" ht="13.8" hidden="false" customHeight="false" outlineLevel="0" collapsed="false">
      <c r="A112" s="1" t="s">
        <v>360</v>
      </c>
      <c r="B112" s="1" t="s">
        <v>361</v>
      </c>
      <c r="C112" s="1" t="s">
        <v>197</v>
      </c>
      <c r="D112" s="3" t="s">
        <v>176</v>
      </c>
      <c r="I112" s="2" t="s">
        <v>12</v>
      </c>
    </row>
    <row r="113" customFormat="false" ht="13.8" hidden="false" customHeight="false" outlineLevel="0" collapsed="false">
      <c r="A113" s="1" t="s">
        <v>362</v>
      </c>
      <c r="B113" s="1" t="s">
        <v>363</v>
      </c>
      <c r="C113" s="1" t="s">
        <v>280</v>
      </c>
      <c r="D113" s="3" t="s">
        <v>176</v>
      </c>
      <c r="I113" s="2" t="s">
        <v>12</v>
      </c>
    </row>
    <row r="114" customFormat="false" ht="13.8" hidden="false" customHeight="false" outlineLevel="0" collapsed="false">
      <c r="A114" s="1" t="s">
        <v>364</v>
      </c>
      <c r="B114" s="1" t="s">
        <v>189</v>
      </c>
      <c r="C114" s="1" t="s">
        <v>365</v>
      </c>
      <c r="D114" s="3" t="s">
        <v>366</v>
      </c>
      <c r="I114" s="2" t="s">
        <v>12</v>
      </c>
    </row>
    <row r="115" customFormat="false" ht="13.8" hidden="false" customHeight="false" outlineLevel="0" collapsed="false">
      <c r="A115" s="1" t="s">
        <v>367</v>
      </c>
      <c r="B115" s="1" t="s">
        <v>284</v>
      </c>
      <c r="C115" s="1" t="s">
        <v>209</v>
      </c>
      <c r="D115" s="3" t="s">
        <v>169</v>
      </c>
      <c r="E115" s="1" t="n">
        <v>-1</v>
      </c>
      <c r="F115" s="1" t="s">
        <v>368</v>
      </c>
      <c r="I115" s="2" t="s">
        <v>12</v>
      </c>
    </row>
    <row r="116" customFormat="false" ht="13.8" hidden="false" customHeight="false" outlineLevel="0" collapsed="false">
      <c r="A116" s="1" t="s">
        <v>369</v>
      </c>
      <c r="B116" s="1" t="s">
        <v>370</v>
      </c>
      <c r="C116" s="1" t="s">
        <v>371</v>
      </c>
      <c r="D116" s="3" t="s">
        <v>16</v>
      </c>
      <c r="I116" s="2" t="s">
        <v>12</v>
      </c>
    </row>
  </sheetData>
  <autoFilter ref="A:I"/>
  <conditionalFormatting sqref="I2:I116">
    <cfRule type="containsText" priority="2" operator="containsText" aboveAverage="0" equalAverage="0" bottom="0" percent="0" rank="0" text="NO" dxfId="5">
      <formula>NOT(ISERROR(SEARCH("NO",I2)))</formula>
    </cfRule>
    <cfRule type="containsText" priority="3" operator="containsText" aboveAverage="0" equalAverage="0" bottom="0" percent="0" rank="0" text="YES" dxfId="6">
      <formula>NOT(ISERROR(SEARCH("YES",I2)))</formula>
    </cfRule>
    <cfRule type="cellIs" priority="4" operator="equal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18" activeCellId="0" sqref="E18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4" width="11.53"/>
    <col collapsed="false" customWidth="true" hidden="false" outlineLevel="0" max="2" min="2" style="4" width="17.39"/>
    <col collapsed="false" customWidth="true" hidden="false" outlineLevel="0" max="3" min="3" style="4" width="27.26"/>
    <col collapsed="false" customWidth="true" hidden="false" outlineLevel="0" max="4" min="4" style="4" width="23.65"/>
    <col collapsed="false" customWidth="true" hidden="false" outlineLevel="0" max="5" min="5" style="4" width="57.36"/>
    <col collapsed="false" customWidth="true" hidden="false" outlineLevel="0" max="6" min="6" style="4" width="53.84"/>
    <col collapsed="false" customWidth="false" hidden="false" outlineLevel="0" max="16384" min="7" style="4" width="11.53"/>
  </cols>
  <sheetData>
    <row r="2" customFormat="false" ht="12.8" hidden="false" customHeight="false" outlineLevel="0" collapsed="false">
      <c r="B2" s="4" t="s">
        <v>372</v>
      </c>
    </row>
    <row r="3" customFormat="false" ht="12.8" hidden="false" customHeight="false" outlineLevel="0" collapsed="false">
      <c r="B3" s="5" t="s">
        <v>373</v>
      </c>
      <c r="C3" s="5" t="s">
        <v>374</v>
      </c>
      <c r="D3" s="5" t="s">
        <v>375</v>
      </c>
      <c r="E3" s="5" t="s">
        <v>376</v>
      </c>
      <c r="F3" s="5" t="s">
        <v>377</v>
      </c>
    </row>
    <row r="4" customFormat="false" ht="12.8" hidden="false" customHeight="false" outlineLevel="0" collapsed="false">
      <c r="B4" s="6" t="s">
        <v>0</v>
      </c>
      <c r="C4" s="6" t="s">
        <v>378</v>
      </c>
      <c r="D4" s="6" t="n">
        <v>115</v>
      </c>
      <c r="E4" s="6" t="s">
        <v>379</v>
      </c>
      <c r="F4" s="6" t="s">
        <v>380</v>
      </c>
    </row>
    <row r="5" customFormat="false" ht="12.8" hidden="false" customHeight="false" outlineLevel="0" collapsed="false">
      <c r="B5" s="6" t="s">
        <v>1</v>
      </c>
      <c r="C5" s="6" t="s">
        <v>381</v>
      </c>
      <c r="D5" s="6" t="n">
        <v>115</v>
      </c>
      <c r="E5" s="6" t="s">
        <v>382</v>
      </c>
      <c r="F5" s="6" t="s">
        <v>383</v>
      </c>
    </row>
    <row r="6" customFormat="false" ht="12.8" hidden="false" customHeight="false" outlineLevel="0" collapsed="false">
      <c r="B6" s="6" t="s">
        <v>2</v>
      </c>
      <c r="C6" s="6" t="s">
        <v>384</v>
      </c>
      <c r="D6" s="6" t="n">
        <v>115</v>
      </c>
      <c r="E6" s="6" t="s">
        <v>382</v>
      </c>
      <c r="F6" s="6" t="s">
        <v>385</v>
      </c>
    </row>
    <row r="7" customFormat="false" ht="12.8" hidden="false" customHeight="false" outlineLevel="0" collapsed="false">
      <c r="B7" s="6" t="s">
        <v>3</v>
      </c>
      <c r="C7" s="6" t="s">
        <v>386</v>
      </c>
      <c r="D7" s="6" t="n">
        <v>115</v>
      </c>
      <c r="E7" s="6" t="s">
        <v>387</v>
      </c>
      <c r="F7" s="6" t="s">
        <v>388</v>
      </c>
    </row>
    <row r="8" customFormat="false" ht="12.8" hidden="false" customHeight="false" outlineLevel="0" collapsed="false">
      <c r="B8" s="6" t="s">
        <v>4</v>
      </c>
      <c r="C8" s="6" t="s">
        <v>389</v>
      </c>
      <c r="D8" s="6" t="n">
        <v>57</v>
      </c>
      <c r="E8" s="6" t="s">
        <v>390</v>
      </c>
      <c r="F8" s="6" t="s">
        <v>391</v>
      </c>
    </row>
    <row r="9" customFormat="false" ht="12.8" hidden="false" customHeight="false" outlineLevel="0" collapsed="false">
      <c r="B9" s="6" t="s">
        <v>5</v>
      </c>
      <c r="C9" s="6" t="s">
        <v>392</v>
      </c>
      <c r="D9" s="6" t="n">
        <v>1</v>
      </c>
      <c r="E9" s="4" t="s">
        <v>393</v>
      </c>
    </row>
    <row r="10" customFormat="false" ht="12.8" hidden="false" customHeight="false" outlineLevel="0" collapsed="false">
      <c r="B10" s="6" t="s">
        <v>4</v>
      </c>
      <c r="C10" s="6" t="s">
        <v>394</v>
      </c>
      <c r="D10" s="6" t="n">
        <v>58</v>
      </c>
      <c r="E10" s="6"/>
      <c r="F10" s="6"/>
    </row>
    <row r="11" customFormat="false" ht="12.8" hidden="false" customHeight="false" outlineLevel="0" collapsed="false">
      <c r="B11" s="6" t="s">
        <v>5</v>
      </c>
      <c r="C11" s="6" t="s">
        <v>394</v>
      </c>
      <c r="D11" s="6" t="n">
        <v>58</v>
      </c>
    </row>
    <row r="12" customFormat="false" ht="12.8" hidden="false" customHeight="false" outlineLevel="0" collapsed="false">
      <c r="B12" s="6" t="s">
        <v>5</v>
      </c>
      <c r="C12" s="6" t="s">
        <v>395</v>
      </c>
      <c r="D12" s="6" t="n">
        <v>57</v>
      </c>
      <c r="E12" s="4" t="s">
        <v>396</v>
      </c>
      <c r="F12" s="4" t="s">
        <v>397</v>
      </c>
    </row>
    <row r="13" customFormat="false" ht="12.8" hidden="false" customHeight="false" outlineLevel="0" collapsed="false">
      <c r="B13" s="6" t="s">
        <v>4</v>
      </c>
      <c r="C13" s="6" t="s">
        <v>394</v>
      </c>
      <c r="D13" s="6" t="n">
        <v>58</v>
      </c>
      <c r="E13" s="6"/>
      <c r="F13" s="6"/>
    </row>
    <row r="14" customFormat="false" ht="20.85" hidden="false" customHeight="false" outlineLevel="0" collapsed="false">
      <c r="B14" s="6" t="s">
        <v>398</v>
      </c>
      <c r="C14" s="6" t="s">
        <v>399</v>
      </c>
      <c r="D14" s="6" t="n">
        <v>1</v>
      </c>
      <c r="E14" s="6" t="s">
        <v>400</v>
      </c>
      <c r="F14" s="6"/>
    </row>
    <row r="15" customFormat="false" ht="12.8" hidden="false" customHeight="false" outlineLevel="0" collapsed="false">
      <c r="B15" s="4" t="s">
        <v>401</v>
      </c>
      <c r="C15" s="4" t="s">
        <v>401</v>
      </c>
      <c r="D15" s="4" t="n">
        <v>3</v>
      </c>
      <c r="E15" s="4" t="s">
        <v>402</v>
      </c>
      <c r="F15" s="4" t="s">
        <v>403</v>
      </c>
    </row>
    <row r="16" customFormat="false" ht="12.8" hidden="false" customHeight="false" outlineLevel="0" collapsed="false">
      <c r="B16" s="4" t="s">
        <v>404</v>
      </c>
      <c r="C16" s="4" t="s">
        <v>405</v>
      </c>
      <c r="D16" s="4" t="n">
        <v>103</v>
      </c>
      <c r="E16" s="4" t="s">
        <v>406</v>
      </c>
      <c r="F16" s="4" t="s">
        <v>407</v>
      </c>
    </row>
    <row r="17" customFormat="false" ht="12.8" hidden="false" customHeight="false" outlineLevel="0" collapsed="false">
      <c r="B17" s="4" t="s">
        <v>408</v>
      </c>
      <c r="C17" s="4" t="s">
        <v>409</v>
      </c>
      <c r="D17" s="4" t="n">
        <v>11</v>
      </c>
      <c r="E17" s="4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2" activeCellId="0" sqref="M2"/>
    </sheetView>
  </sheetViews>
  <sheetFormatPr defaultColWidth="11.53515625" defaultRowHeight="13.2" customHeight="false" zeroHeight="false" outlineLevelRow="0" outlineLevelCol="0"/>
  <cols>
    <col collapsed="false" customWidth="true" hidden="false" outlineLevel="0" max="1" min="1" style="7" width="68.58"/>
    <col collapsed="false" customWidth="true" hidden="false" outlineLevel="0" max="2" min="2" style="8" width="25.08"/>
    <col collapsed="false" customWidth="true" hidden="false" outlineLevel="0" max="3" min="3" style="8" width="20.03"/>
    <col collapsed="false" customWidth="true" hidden="false" outlineLevel="0" max="4" min="4" style="9" width="25.08"/>
    <col collapsed="false" customWidth="true" hidden="false" outlineLevel="0" max="5" min="5" style="10" width="32.69"/>
    <col collapsed="false" customWidth="true" hidden="false" outlineLevel="0" max="6" min="6" style="11" width="14.88"/>
    <col collapsed="false" customWidth="true" hidden="true" outlineLevel="0" max="7" min="7" style="12" width="20.86"/>
    <col collapsed="false" customWidth="true" hidden="true" outlineLevel="0" max="8" min="8" style="7" width="31.16"/>
    <col collapsed="false" customWidth="true" hidden="true" outlineLevel="0" max="9" min="9" style="7" width="27.26"/>
    <col collapsed="false" customWidth="true" hidden="true" outlineLevel="0" max="10" min="10" style="7" width="33.8"/>
    <col collapsed="false" customWidth="true" hidden="false" outlineLevel="0" max="11" min="11" style="7" width="23.79"/>
    <col collapsed="false" customWidth="true" hidden="true" outlineLevel="0" max="12" min="12" style="7" width="22.4"/>
    <col collapsed="false" customWidth="true" hidden="false" outlineLevel="0" max="13" min="13" style="7" width="30.74"/>
    <col collapsed="false" customWidth="false" hidden="false" outlineLevel="0" max="16384" min="14" style="7" width="11.53"/>
  </cols>
  <sheetData>
    <row r="1" customFormat="false" ht="13.2" hidden="false" customHeight="false" outlineLevel="0" collapsed="false">
      <c r="A1" s="13" t="s">
        <v>411</v>
      </c>
      <c r="B1" s="14" t="s">
        <v>412</v>
      </c>
      <c r="C1" s="14" t="s">
        <v>413</v>
      </c>
      <c r="D1" s="15" t="s">
        <v>414</v>
      </c>
      <c r="E1" s="16" t="s">
        <v>415</v>
      </c>
      <c r="F1" s="17" t="s">
        <v>416</v>
      </c>
      <c r="G1" s="18" t="s">
        <v>417</v>
      </c>
      <c r="H1" s="19" t="s">
        <v>418</v>
      </c>
      <c r="I1" s="19" t="s">
        <v>419</v>
      </c>
      <c r="J1" s="19" t="s">
        <v>420</v>
      </c>
      <c r="K1" s="20" t="s">
        <v>421</v>
      </c>
      <c r="L1" s="19" t="s">
        <v>422</v>
      </c>
      <c r="M1" s="19" t="s">
        <v>423</v>
      </c>
    </row>
    <row r="2" customFormat="false" ht="13.2" hidden="false" customHeight="false" outlineLevel="0" collapsed="false">
      <c r="A2" s="7" t="str">
        <f aca="false">PROPER(TRIM(raw_data!A:A))</f>
        <v>115 Piece Set Of Multifunctional Precision Screwdrivers</v>
      </c>
      <c r="B2" s="8" t="str">
        <f aca="false">IFERROR(VALUE(TRIM(SUBSTITUTE(LOWER(raw_data!B40), "ksh", ""))), "")</f>
        <v/>
      </c>
      <c r="C2" s="8" t="str">
        <f aca="false">IFERROR(VALUE(TRIM(SUBSTITUTE(LOWER(raw_data!C40), "ksh", ""))), "")</f>
        <v/>
      </c>
      <c r="D2" s="21" t="n">
        <f aca="false">VALUE(TRIM(raw_data!D40))</f>
        <v>0.38</v>
      </c>
      <c r="E2" s="10" t="n">
        <f aca="false">IF(ISBLANK(raw_data!E40),"",ABS(TRIM(raw_data!E40)))</f>
        <v>2</v>
      </c>
      <c r="F2" s="11" t="n">
        <f aca="false">IF(ISBLANK(raw_data!F40),"",VALUE(LEFT(raw_data!F40,FIND(" ", raw_data!F40,1))))</f>
        <v>4.5</v>
      </c>
      <c r="G2" s="22" t="str">
        <f aca="false">IFERROR(ROUND(D2-((C2-B2)/C2),4), "")</f>
        <v/>
      </c>
      <c r="H2" s="2" t="str">
        <f aca="false">=IF(OR(D2="", C2=""), "",IF(C2 &lt; B2, "Check prices", "OK"))</f>
        <v/>
      </c>
      <c r="I2" s="7" t="str">
        <f aca="false">IF(F2="","",IF(OR(F2&lt;0,F2&gt;5),"EVALUATE","OK"))</f>
        <v>OK</v>
      </c>
      <c r="J2" s="23" t="str">
        <f aca="false">IF(D2="","",IF(OR(D2&lt;0,D2&gt;5),"EVALUATE","OK"))</f>
        <v>OK</v>
      </c>
      <c r="K2" s="8" t="str">
        <f aca="false">IFERROR(C2-B2,"")</f>
        <v/>
      </c>
      <c r="L2" s="7" t="str">
        <f aca="false">IF(ISBLANK(F2), "MISSING", IF(F2&lt;3, "POOR", IF(F2&gt;4.5, "EXCELLENT", IF(AND(F2&gt;=3, F2&lt;=4), "AVERAGE", "UN-CATEGORISED"))))</f>
        <v>UN-CATEGORISED</v>
      </c>
      <c r="M2" s="7" t="str">
        <f aca="false">IF(L2="UN-CATEGORISED", "AVERAGE", L2)</f>
        <v>AVERAGE</v>
      </c>
    </row>
    <row r="3" customFormat="false" ht="13.2" hidden="false" customHeight="false" outlineLevel="0" collapsed="false">
      <c r="A3" s="7" t="str">
        <f aca="false">PROPER(TRIM(raw_data!A:A))</f>
        <v>Metal Decorative Hooks Key Hangers Entryway Wall Hooks Towel Hooks - Home</v>
      </c>
      <c r="B3" s="8" t="n">
        <f aca="false">IFERROR(VALUE(TRIM(SUBSTITUTE(LOWER(raw_data!B10), "ksh", ""))), "")</f>
        <v>1274</v>
      </c>
      <c r="C3" s="8" t="n">
        <f aca="false">IFERROR(VALUE(TRIM(SUBSTITUTE(LOWER(raw_data!C10), "ksh", ""))), "")</f>
        <v>2800</v>
      </c>
      <c r="D3" s="21" t="n">
        <f aca="false">VALUE(TRIM(raw_data!D10))</f>
        <v>0.55</v>
      </c>
      <c r="E3" s="10" t="n">
        <f aca="false">IF(ISBLANK(raw_data!E10),"",ABS(TRIM(raw_data!E10)))</f>
        <v>5</v>
      </c>
      <c r="F3" s="11" t="n">
        <f aca="false">IF(ISBLANK(raw_data!F10),"",VALUE(LEFT(raw_data!F10,FIND(" ", raw_data!F10,1))))</f>
        <v>4.8</v>
      </c>
      <c r="G3" s="22" t="n">
        <f aca="false">IFERROR(ROUND(D3-((C3-B3)/C3),4), "")</f>
        <v>0.005</v>
      </c>
      <c r="H3" s="2" t="str">
        <f aca="false">=IF(OR(D3="", C3=""), "",IF(C3 &lt; B3, "Check prices", "OK"))</f>
        <v>OK</v>
      </c>
      <c r="I3" s="7" t="str">
        <f aca="false">IF(F3="","",IF(OR(F3&lt;0,F3&gt;5),"EVALUATE","OK"))</f>
        <v>OK</v>
      </c>
      <c r="J3" s="23" t="str">
        <f aca="false">IF(D3="","",IF(OR(D3&lt;0,D3&gt;5),"EVALUATE","OK"))</f>
        <v>OK</v>
      </c>
      <c r="K3" s="8" t="n">
        <f aca="false">IFERROR(C3-B3,"")</f>
        <v>1526</v>
      </c>
      <c r="L3" s="7" t="str">
        <f aca="false">IF(ISBLANK(F3), "MISSING", IF(F3&lt;3, "POOR", IF(F3&gt;4.5, "EXCELLENT", IF(AND(F3&gt;=3, F3&lt;=4), "AVERAGE", "UN-CATEGORISED"))))</f>
        <v>EXCELLENT</v>
      </c>
      <c r="M3" s="7" t="str">
        <f aca="false">IF(L3="UN-CATEGORISED", "AVERAGE", L3)</f>
        <v>EXCELLENT</v>
      </c>
    </row>
    <row r="4" customFormat="false" ht="13.2" hidden="false" customHeight="false" outlineLevel="0" collapsed="false">
      <c r="A4" s="7" t="str">
        <f aca="false">PROPER(TRIM(raw_data!A:A))</f>
        <v>Portable Mini Cordless Car Vacuum Cleaner - Blue</v>
      </c>
      <c r="B4" s="8" t="n">
        <f aca="false">IFERROR(VALUE(TRIM(SUBSTITUTE(LOWER(raw_data!B22), "ksh", ""))), "")</f>
        <v>38</v>
      </c>
      <c r="C4" s="8" t="n">
        <f aca="false">IFERROR(VALUE(TRIM(SUBSTITUTE(LOWER(raw_data!C22), "ksh", ""))), "")</f>
        <v>80</v>
      </c>
      <c r="D4" s="21" t="n">
        <f aca="false">VALUE(TRIM(raw_data!D22))</f>
        <v>0.53</v>
      </c>
      <c r="E4" s="10" t="n">
        <f aca="false">IF(ISBLANK(raw_data!E22),"",ABS(TRIM(raw_data!E22)))</f>
        <v>13</v>
      </c>
      <c r="F4" s="11" t="n">
        <f aca="false">IF(ISBLANK(raw_data!F22),"",VALUE(LEFT(raw_data!F22,FIND(" ", raw_data!F22,1))))</f>
        <v>3.3</v>
      </c>
      <c r="G4" s="22" t="n">
        <f aca="false">IFERROR(ROUND(D4-((C4-B4)/C4),4), "")</f>
        <v>0.005</v>
      </c>
      <c r="H4" s="2" t="str">
        <f aca="false">=IF(OR(D4="", C4=""), "",IF(C4 &lt; B4, "Check prices", "OK"))</f>
        <v>OK</v>
      </c>
      <c r="I4" s="7" t="str">
        <f aca="false">IF(F4="","",IF(OR(F4&lt;0,F4&gt;5),"EVALUATE","OK"))</f>
        <v>OK</v>
      </c>
      <c r="J4" s="23" t="str">
        <f aca="false">IF(D4="","",IF(OR(D4&lt;0,D4&gt;5),"EVALUATE","OK"))</f>
        <v>OK</v>
      </c>
      <c r="K4" s="8" t="n">
        <f aca="false">IFERROR(C4-B4,"")</f>
        <v>42</v>
      </c>
      <c r="L4" s="7" t="str">
        <f aca="false">IF(ISBLANK(F4), "MISSING", IF(F4&lt;3, "POOR", IF(F4&gt;4.5, "EXCELLENT", IF(AND(F4&gt;=3, F4&lt;=4), "AVERAGE", "UN-CATEGORISED"))))</f>
        <v>AVERAGE</v>
      </c>
      <c r="M4" s="7" t="str">
        <f aca="false">IF(L4="UN-CATEGORISED", "AVERAGE", L4)</f>
        <v>AVERAGE</v>
      </c>
    </row>
    <row r="5" customFormat="false" ht="13.2" hidden="false" customHeight="false" outlineLevel="0" collapsed="false">
      <c r="A5" s="7" t="str">
        <f aca="false">PROPER(TRIM(raw_data!A:A))</f>
        <v>Weighing Scale Digital Bathroom Body Fat Scale Usb-Black</v>
      </c>
      <c r="B5" s="8" t="n">
        <f aca="false">IFERROR(VALUE(TRIM(SUBSTITUTE(LOWER(raw_data!B38), "ksh", ""))), "")</f>
        <v>171</v>
      </c>
      <c r="C5" s="8" t="n">
        <f aca="false">IFERROR(VALUE(TRIM(SUBSTITUTE(LOWER(raw_data!C38), "ksh", ""))), "")</f>
        <v>360</v>
      </c>
      <c r="D5" s="21" t="n">
        <f aca="false">VALUE(TRIM(raw_data!D38))</f>
        <v>0.53</v>
      </c>
      <c r="E5" s="10" t="n">
        <f aca="false">IF(ISBLANK(raw_data!E38),"",ABS(TRIM(raw_data!E38)))</f>
        <v>2</v>
      </c>
      <c r="F5" s="11" t="n">
        <f aca="false">IF(ISBLANK(raw_data!F38),"",VALUE(LEFT(raw_data!F38,FIND(" ", raw_data!F38,1))))</f>
        <v>5</v>
      </c>
      <c r="G5" s="22" t="n">
        <f aca="false">IFERROR(ROUND(D5-((C5-B5)/C5),4), "")</f>
        <v>0.005</v>
      </c>
      <c r="H5" s="2" t="str">
        <f aca="false">=IF(OR(D5="", C5=""), "",IF(C5 &lt; B5, "Check prices", "OK"))</f>
        <v>OK</v>
      </c>
      <c r="I5" s="7" t="str">
        <f aca="false">IF(F5="","",IF(OR(F5&lt;0,F5&gt;5),"EVALUATE","OK"))</f>
        <v>OK</v>
      </c>
      <c r="J5" s="23" t="str">
        <f aca="false">IF(D5="","",IF(OR(D5&lt;0,D5&gt;5),"EVALUATE","OK"))</f>
        <v>OK</v>
      </c>
      <c r="K5" s="8" t="n">
        <f aca="false">IFERROR(C5-B5,"")</f>
        <v>189</v>
      </c>
      <c r="L5" s="7" t="str">
        <f aca="false">IF(ISBLANK(F5), "MISSING", IF(F5&lt;3, "POOR", IF(F5&gt;4.5, "EXCELLENT", IF(AND(F5&gt;=3, F5&lt;=4), "AVERAGE", "UN-CATEGORISED"))))</f>
        <v>EXCELLENT</v>
      </c>
      <c r="M5" s="7" t="str">
        <f aca="false">IF(L5="UN-CATEGORISED", "AVERAGE", L5)</f>
        <v>EXCELLENT</v>
      </c>
    </row>
    <row r="6" customFormat="false" ht="13.2" hidden="false" customHeight="false" outlineLevel="0" collapsed="false">
      <c r="A6" s="7" t="str">
        <f aca="false">PROPER(TRIM(raw_data!A:A))</f>
        <v>Portable Home Small Air Humidifier 3-Speed Fan - Green</v>
      </c>
      <c r="B6" s="8" t="n">
        <f aca="false">IFERROR(VALUE(TRIM(SUBSTITUTE(LOWER(raw_data!B78), "ksh", ""))), "")</f>
        <v>690</v>
      </c>
      <c r="C6" s="8" t="n">
        <f aca="false">IFERROR(VALUE(TRIM(SUBSTITUTE(LOWER(raw_data!C78), "ksh", ""))), "")</f>
        <v>1200</v>
      </c>
      <c r="D6" s="21" t="n">
        <f aca="false">VALUE(TRIM(raw_data!D78))</f>
        <v>0.43</v>
      </c>
      <c r="E6" s="10" t="str">
        <f aca="false">IF(ISBLANK(raw_data!E78),"",ABS(TRIM(raw_data!E78)))</f>
        <v/>
      </c>
      <c r="F6" s="11" t="str">
        <f aca="false">IF(ISBLANK(raw_data!F78),"",VALUE(LEFT(raw_data!F78,FIND(" ", raw_data!F78,1))))</f>
        <v/>
      </c>
      <c r="G6" s="22" t="n">
        <f aca="false">IFERROR(ROUND(D6-((C6-B6)/C6),4), "")</f>
        <v>0.005</v>
      </c>
      <c r="H6" s="2" t="str">
        <f aca="false">=IF(OR(D6="", C6=""), "",IF(C6 &lt; B6, "Check prices", "OK"))</f>
        <v>OK</v>
      </c>
      <c r="I6" s="7" t="str">
        <f aca="false">IF(F6="","",IF(OR(F6&lt;0,F6&gt;5),"EVALUATE","OK"))</f>
        <v/>
      </c>
      <c r="J6" s="23" t="str">
        <f aca="false">IF(D6="","",IF(OR(D6&lt;0,D6&gt;5),"EVALUATE","OK"))</f>
        <v>OK</v>
      </c>
      <c r="K6" s="8" t="n">
        <f aca="false">IFERROR(C6-B6,"")</f>
        <v>510</v>
      </c>
      <c r="L6" s="7" t="str">
        <f aca="false">IF(ISBLANK(F6), "MISSING", IF(F6&lt;3, "POOR", IF(F6&gt;4.5, "EXCELLENT", IF(AND(F6&gt;=3, F6&lt;=4), "AVERAGE", "UN-CATEGORISED"))))</f>
        <v>EXCELLENT</v>
      </c>
      <c r="M6" s="7" t="str">
        <f aca="false">IF(L6="UN-CATEGORISED", "AVERAGE", L6)</f>
        <v>EXCELLENT</v>
      </c>
    </row>
    <row r="7" customFormat="false" ht="13.2" hidden="false" customHeight="false" outlineLevel="0" collapsed="false">
      <c r="A7" s="7" t="str">
        <f aca="false">PROPER(TRIM(raw_data!A:A))</f>
        <v>220V 60W Electric Soldering Iron Kits With Tools, Tips, And Multimeter</v>
      </c>
      <c r="B7" s="8" t="n">
        <f aca="false">IFERROR(VALUE(TRIM(SUBSTITUTE(LOWER(raw_data!B96), "ksh", ""))), "")</f>
        <v>105</v>
      </c>
      <c r="C7" s="8" t="n">
        <f aca="false">IFERROR(VALUE(TRIM(SUBSTITUTE(LOWER(raw_data!C96), "ksh", ""))), "")</f>
        <v>200</v>
      </c>
      <c r="D7" s="21" t="n">
        <f aca="false">VALUE(TRIM(raw_data!D96))</f>
        <v>0.48</v>
      </c>
      <c r="E7" s="10" t="str">
        <f aca="false">IF(ISBLANK(raw_data!E96),"",ABS(TRIM(raw_data!E96)))</f>
        <v/>
      </c>
      <c r="F7" s="11" t="str">
        <f aca="false">IF(ISBLANK(raw_data!F96),"",VALUE(LEFT(raw_data!F96,FIND(" ", raw_data!F96,1))))</f>
        <v/>
      </c>
      <c r="G7" s="22" t="n">
        <f aca="false">IFERROR(ROUND(D7-((C7-B7)/C7),4), "")</f>
        <v>0.005</v>
      </c>
      <c r="H7" s="2" t="str">
        <f aca="false">=IF(OR(D7="", C7=""), "",IF(C7 &lt; B7, "Check prices", "OK"))</f>
        <v>OK</v>
      </c>
      <c r="I7" s="7" t="str">
        <f aca="false">IF(F7="","",IF(OR(F7&lt;0,F7&gt;5),"EVALUATE","OK"))</f>
        <v/>
      </c>
      <c r="J7" s="23" t="str">
        <f aca="false">IF(D7="","",IF(OR(D7&lt;0,D7&gt;5),"EVALUATE","OK"))</f>
        <v>OK</v>
      </c>
      <c r="K7" s="8" t="n">
        <f aca="false">IFERROR(C7-B7,"")</f>
        <v>95</v>
      </c>
      <c r="L7" s="7" t="str">
        <f aca="false">IF(ISBLANK(F7), "MISSING", IF(F7&lt;3, "POOR", IF(F7&gt;4.5, "EXCELLENT", IF(AND(F7&gt;=3, F7&lt;=4), "AVERAGE", "UN-CATEGORISED"))))</f>
        <v>EXCELLENT</v>
      </c>
      <c r="M7" s="7" t="str">
        <f aca="false">IF(L7="UN-CATEGORISED", "AVERAGE", L7)</f>
        <v>EXCELLENT</v>
      </c>
    </row>
    <row r="8" customFormat="false" ht="13.2" hidden="false" customHeight="false" outlineLevel="0" collapsed="false">
      <c r="A8" s="7" t="str">
        <f aca="false">PROPER(TRIM(raw_data!A:A))</f>
        <v>137 Pieces Cake Decorating Tool Set Baking Supplies</v>
      </c>
      <c r="B8" s="8" t="n">
        <f aca="false">IFERROR(VALUE(TRIM(SUBSTITUTE(LOWER(raw_data!B56), "ksh", ""))), "")</f>
        <v>799</v>
      </c>
      <c r="C8" s="8" t="n">
        <f aca="false">IFERROR(VALUE(TRIM(SUBSTITUTE(LOWER(raw_data!C56), "ksh", ""))), "")</f>
        <v>1343</v>
      </c>
      <c r="D8" s="21" t="n">
        <f aca="false">VALUE(TRIM(raw_data!D56))</f>
        <v>0.41</v>
      </c>
      <c r="E8" s="10" t="str">
        <f aca="false">IF(ISBLANK(raw_data!E56),"",ABS(TRIM(raw_data!E56)))</f>
        <v/>
      </c>
      <c r="F8" s="11" t="str">
        <f aca="false">IF(ISBLANK(raw_data!F56),"",VALUE(LEFT(raw_data!F56,FIND(" ", raw_data!F56,1))))</f>
        <v/>
      </c>
      <c r="G8" s="22" t="n">
        <f aca="false">IFERROR(ROUND(D8-((C8-B8)/C8),4), "")</f>
        <v>0.0049</v>
      </c>
      <c r="H8" s="2" t="str">
        <f aca="false">=IF(OR(D8="", C8=""), "",IF(C8 &lt; B8, "Check prices", "OK"))</f>
        <v>OK</v>
      </c>
      <c r="I8" s="7" t="str">
        <f aca="false">IF(F8="","",IF(OR(F8&lt;0,F8&gt;5),"EVALUATE","OK"))</f>
        <v/>
      </c>
      <c r="J8" s="23" t="str">
        <f aca="false">IF(D8="","",IF(OR(D8&lt;0,D8&gt;5),"EVALUATE","OK"))</f>
        <v>OK</v>
      </c>
      <c r="K8" s="8" t="n">
        <f aca="false">IFERROR(C8-B8,"")</f>
        <v>544</v>
      </c>
      <c r="L8" s="7" t="str">
        <f aca="false">IF(ISBLANK(F8), "MISSING", IF(F8&lt;3, "POOR", IF(F8&gt;4.5, "EXCELLENT", IF(AND(F8&gt;=3, F8&lt;=4), "AVERAGE", "UN-CATEGORISED"))))</f>
        <v>EXCELLENT</v>
      </c>
      <c r="M8" s="7" t="str">
        <f aca="false">IF(L8="UN-CATEGORISED", "AVERAGE", L8)</f>
        <v>EXCELLENT</v>
      </c>
    </row>
    <row r="9" customFormat="false" ht="13.2" hidden="false" customHeight="false" outlineLevel="0" collapsed="false">
      <c r="A9" s="7" t="str">
        <f aca="false">PROPER(TRIM(raw_data!A:A))</f>
        <v>Desk Foldable Fan Adjustable Fan Strong Wind 3 Gear Usb</v>
      </c>
      <c r="B9" s="8" t="n">
        <f aca="false">IFERROR(VALUE(TRIM(SUBSTITUTE(LOWER(raw_data!B8), "ksh", ""))), "")</f>
        <v>2319</v>
      </c>
      <c r="C9" s="8" t="n">
        <f aca="false">IFERROR(VALUE(TRIM(SUBSTITUTE(LOWER(raw_data!C8), "ksh", ""))), "")</f>
        <v>3032</v>
      </c>
      <c r="D9" s="21" t="n">
        <f aca="false">VALUE(TRIM(raw_data!D8))</f>
        <v>0.24</v>
      </c>
      <c r="E9" s="10" t="n">
        <f aca="false">IF(ISBLANK(raw_data!E8),"",ABS(TRIM(raw_data!E8)))</f>
        <v>55</v>
      </c>
      <c r="F9" s="11" t="n">
        <f aca="false">IF(ISBLANK(raw_data!F8),"",VALUE(LEFT(raw_data!F8,FIND(" ", raw_data!F8,1))))</f>
        <v>4.6</v>
      </c>
      <c r="G9" s="22" t="n">
        <f aca="false">IFERROR(ROUND(D9-((C9-B9)/C9),4), "")</f>
        <v>0.0048</v>
      </c>
      <c r="H9" s="2" t="str">
        <f aca="false">=IF(OR(D9="", C9=""), "",IF(C9 &lt; B9, "Check prices", "OK"))</f>
        <v>OK</v>
      </c>
      <c r="I9" s="7" t="str">
        <f aca="false">IF(F9="","",IF(OR(F9&lt;0,F9&gt;5),"EVALUATE","OK"))</f>
        <v>OK</v>
      </c>
      <c r="J9" s="23" t="str">
        <f aca="false">IF(D9="","",IF(OR(D9&lt;0,D9&gt;5),"EVALUATE","OK"))</f>
        <v>OK</v>
      </c>
      <c r="K9" s="8" t="n">
        <f aca="false">IFERROR(C9-B9,"")</f>
        <v>713</v>
      </c>
      <c r="L9" s="7" t="str">
        <f aca="false">IF(ISBLANK(F9), "MISSING", IF(F9&lt;3, "POOR", IF(F9&gt;4.5, "EXCELLENT", IF(AND(F9&gt;=3, F9&lt;=4), "AVERAGE", "UN-CATEGORISED"))))</f>
        <v>EXCELLENT</v>
      </c>
      <c r="M9" s="7" t="str">
        <f aca="false">IF(L9="UN-CATEGORISED", "AVERAGE", L9)</f>
        <v>EXCELLENT</v>
      </c>
    </row>
    <row r="10" customFormat="false" ht="13.2" hidden="false" customHeight="false" outlineLevel="0" collapsed="false">
      <c r="A10" s="7" t="str">
        <f aca="false">PROPER(TRIM(raw_data!A:A))</f>
        <v>Lasa Folding Table Serving Stand</v>
      </c>
      <c r="B10" s="8" t="n">
        <f aca="false">IFERROR(VALUE(TRIM(SUBSTITUTE(LOWER(raw_data!B51), "ksh", ""))), "")</f>
        <v>199</v>
      </c>
      <c r="C10" s="8" t="n">
        <f aca="false">IFERROR(VALUE(TRIM(SUBSTITUTE(LOWER(raw_data!C51), "ksh", ""))), "")</f>
        <v>504</v>
      </c>
      <c r="D10" s="21" t="n">
        <f aca="false">VALUE(TRIM(raw_data!D51))</f>
        <v>0.61</v>
      </c>
      <c r="E10" s="10" t="str">
        <f aca="false">IF(ISBLANK(raw_data!E51),"",ABS(TRIM(raw_data!E51)))</f>
        <v/>
      </c>
      <c r="F10" s="11" t="str">
        <f aca="false">IF(ISBLANK(raw_data!F51),"",VALUE(LEFT(raw_data!F51,FIND(" ", raw_data!F51,1))))</f>
        <v/>
      </c>
      <c r="G10" s="22" t="n">
        <f aca="false">IFERROR(ROUND(D10-((C10-B10)/C10),4), "")</f>
        <v>0.0048</v>
      </c>
      <c r="H10" s="2" t="str">
        <f aca="false">=IF(OR(D10="", C10=""), "",IF(C10 &lt; B10, "Check prices", "OK"))</f>
        <v>OK</v>
      </c>
      <c r="I10" s="7" t="str">
        <f aca="false">IF(F10="","",IF(OR(F10&lt;0,F10&gt;5),"EVALUATE","OK"))</f>
        <v/>
      </c>
      <c r="J10" s="23" t="str">
        <f aca="false">IF(D10="","",IF(OR(D10&lt;0,D10&gt;5),"EVALUATE","OK"))</f>
        <v>OK</v>
      </c>
      <c r="K10" s="8" t="n">
        <f aca="false">IFERROR(C10-B10,"")</f>
        <v>305</v>
      </c>
      <c r="L10" s="7" t="str">
        <f aca="false">IF(ISBLANK(F10), "MISSING", IF(F10&lt;3, "POOR", IF(F10&gt;4.5, "EXCELLENT", IF(AND(F10&gt;=3, F10&lt;=4), "AVERAGE", "UN-CATEGORISED"))))</f>
        <v>EXCELLENT</v>
      </c>
      <c r="M10" s="7" t="str">
        <f aca="false">IF(L10="UN-CATEGORISED", "AVERAGE", L10)</f>
        <v>EXCELLENT</v>
      </c>
    </row>
    <row r="11" customFormat="false" ht="13.2" hidden="false" customHeight="false" outlineLevel="0" collapsed="false">
      <c r="A11" s="7" t="str">
        <f aca="false">PROPER(TRIM(raw_data!A:A))</f>
        <v>13 In 1 Home Repair Tools Box Kit Set</v>
      </c>
      <c r="B11" s="8" t="n">
        <f aca="false">IFERROR(VALUE(TRIM(SUBSTITUTE(LOWER(raw_data!B60), "ksh", ""))), "")</f>
        <v>2799</v>
      </c>
      <c r="C11" s="8" t="n">
        <f aca="false">IFERROR(VALUE(TRIM(SUBSTITUTE(LOWER(raw_data!C60), "ksh", ""))), "")</f>
        <v>3810</v>
      </c>
      <c r="D11" s="21" t="n">
        <f aca="false">VALUE(TRIM(raw_data!D60))</f>
        <v>0.27</v>
      </c>
      <c r="E11" s="10" t="str">
        <f aca="false">IF(ISBLANK(raw_data!E60),"",ABS(TRIM(raw_data!E60)))</f>
        <v/>
      </c>
      <c r="F11" s="11" t="str">
        <f aca="false">IF(ISBLANK(raw_data!F60),"",VALUE(LEFT(raw_data!F60,FIND(" ", raw_data!F60,1))))</f>
        <v/>
      </c>
      <c r="G11" s="22" t="n">
        <f aca="false">IFERROR(ROUND(D11-((C11-B11)/C11),4), "")</f>
        <v>0.0046</v>
      </c>
      <c r="H11" s="2" t="str">
        <f aca="false">=IF(OR(D11="", C11=""), "",IF(C11 &lt; B11, "Check prices", "OK"))</f>
        <v>OK</v>
      </c>
      <c r="I11" s="7" t="str">
        <f aca="false">IF(F11="","",IF(OR(F11&lt;0,F11&gt;5),"EVALUATE","OK"))</f>
        <v/>
      </c>
      <c r="J11" s="23" t="str">
        <f aca="false">IF(D11="","",IF(OR(D11&lt;0,D11&gt;5),"EVALUATE","OK"))</f>
        <v>OK</v>
      </c>
      <c r="K11" s="8" t="n">
        <f aca="false">IFERROR(C11-B11,"")</f>
        <v>1011</v>
      </c>
      <c r="L11" s="7" t="str">
        <f aca="false">IF(ISBLANK(F11), "MISSING", IF(F11&lt;3, "POOR", IF(F11&gt;4.5, "EXCELLENT", IF(AND(F11&gt;=3, F11&lt;=4), "AVERAGE", "UN-CATEGORISED"))))</f>
        <v>EXCELLENT</v>
      </c>
      <c r="M11" s="7" t="str">
        <f aca="false">IF(L11="UN-CATEGORISED", "AVERAGE", L11)</f>
        <v>EXCELLENT</v>
      </c>
    </row>
    <row r="12" customFormat="false" ht="13.2" hidden="false" customHeight="false" outlineLevel="0" collapsed="false">
      <c r="A12" s="7" t="str">
        <f aca="false">PROPER(TRIM(raw_data!A:A))</f>
        <v>Genebre 115 In 1 Screwdriver Repairing Tool Set For Iphone Cellphone Hand Tool</v>
      </c>
      <c r="B12" s="8" t="n">
        <f aca="false">IFERROR(VALUE(TRIM(SUBSTITUTE(LOWER(raw_data!B67), "ksh", ""))), "")</f>
        <v>1220</v>
      </c>
      <c r="C12" s="8" t="n">
        <f aca="false">IFERROR(VALUE(TRIM(SUBSTITUTE(LOWER(raw_data!C67), "ksh", ""))), "")</f>
        <v>1555</v>
      </c>
      <c r="D12" s="21" t="n">
        <f aca="false">VALUE(TRIM(raw_data!D67))</f>
        <v>0.22</v>
      </c>
      <c r="E12" s="10" t="n">
        <f aca="false">IF(ISBLANK(raw_data!E67),"",ABS(TRIM(raw_data!E67)))</f>
        <v>16</v>
      </c>
      <c r="F12" s="11" t="n">
        <f aca="false">IF(ISBLANK(raw_data!F67),"",VALUE(LEFT(raw_data!F67,FIND(" ", raw_data!F67,1))))</f>
        <v>2.9</v>
      </c>
      <c r="G12" s="22" t="n">
        <f aca="false">IFERROR(ROUND(D12-((C12-B12)/C12),4), "")</f>
        <v>0.0046</v>
      </c>
      <c r="H12" s="2" t="str">
        <f aca="false">=IF(OR(D12="", C12=""), "",IF(C12 &lt; B12, "Check prices", "OK"))</f>
        <v>OK</v>
      </c>
      <c r="I12" s="7" t="str">
        <f aca="false">IF(F12="","",IF(OR(F12&lt;0,F12&gt;5),"EVALUATE","OK"))</f>
        <v>OK</v>
      </c>
      <c r="J12" s="23" t="str">
        <f aca="false">IF(D12="","",IF(OR(D12&lt;0,D12&gt;5),"EVALUATE","OK"))</f>
        <v>OK</v>
      </c>
      <c r="K12" s="8" t="n">
        <f aca="false">IFERROR(C12-B12,"")</f>
        <v>335</v>
      </c>
      <c r="L12" s="7" t="str">
        <f aca="false">IF(ISBLANK(F12), "MISSING", IF(F12&lt;3, "POOR", IF(F12&gt;4.5, "EXCELLENT", IF(AND(F12&gt;=3, F12&lt;=4), "AVERAGE", "UN-CATEGORISED"))))</f>
        <v>POOR</v>
      </c>
      <c r="M12" s="7" t="str">
        <f aca="false">IF(L12="UN-CATEGORISED", "AVERAGE", L12)</f>
        <v>POOR</v>
      </c>
    </row>
    <row r="13" customFormat="false" ht="13.2" hidden="false" customHeight="false" outlineLevel="0" collapsed="false">
      <c r="A13" s="7" t="str">
        <f aca="false">PROPER(TRIM(raw_data!A:A))</f>
        <v>100 Pcs Crochet Hook Tool Set Knitting Hook Set With Box</v>
      </c>
      <c r="B13" s="8" t="n">
        <f aca="false">IFERROR(VALUE(TRIM(SUBSTITUTE(LOWER(raw_data!B63), "ksh", ""))), "")</f>
        <v>458</v>
      </c>
      <c r="C13" s="8" t="n">
        <f aca="false">IFERROR(VALUE(TRIM(SUBSTITUTE(LOWER(raw_data!C63), "ksh", ""))), "")</f>
        <v>986</v>
      </c>
      <c r="D13" s="21" t="n">
        <f aca="false">VALUE(TRIM(raw_data!D63))</f>
        <v>0.54</v>
      </c>
      <c r="E13" s="10" t="n">
        <f aca="false">IF(ISBLANK(raw_data!E63),"",ABS(TRIM(raw_data!E63)))</f>
        <v>10</v>
      </c>
      <c r="F13" s="11" t="n">
        <f aca="false">IF(ISBLANK(raw_data!F63),"",VALUE(LEFT(raw_data!F63,FIND(" ", raw_data!F63,1))))</f>
        <v>3</v>
      </c>
      <c r="G13" s="22" t="n">
        <f aca="false">IFERROR(ROUND(D13-((C13-B13)/C13),4), "")</f>
        <v>0.0045</v>
      </c>
      <c r="H13" s="2" t="str">
        <f aca="false">=IF(OR(D13="", C13=""), "",IF(C13 &lt; B13, "Check prices", "OK"))</f>
        <v>OK</v>
      </c>
      <c r="I13" s="7" t="str">
        <f aca="false">IF(F13="","",IF(OR(F13&lt;0,F13&gt;5),"EVALUATE","OK"))</f>
        <v>OK</v>
      </c>
      <c r="J13" s="23" t="str">
        <f aca="false">IF(D13="","",IF(OR(D13&lt;0,D13&gt;5),"EVALUATE","OK"))</f>
        <v>OK</v>
      </c>
      <c r="K13" s="8" t="n">
        <f aca="false">IFERROR(C13-B13,"")</f>
        <v>528</v>
      </c>
      <c r="L13" s="7" t="str">
        <f aca="false">IF(ISBLANK(F13), "MISSING", IF(F13&lt;3, "POOR", IF(F13&gt;4.5, "EXCELLENT", IF(AND(F13&gt;=3, F13&lt;=4), "AVERAGE", "UN-CATEGORISED"))))</f>
        <v>AVERAGE</v>
      </c>
      <c r="M13" s="7" t="str">
        <f aca="false">IF(L13="UN-CATEGORISED", "AVERAGE", L13)</f>
        <v>AVERAGE</v>
      </c>
    </row>
    <row r="14" customFormat="false" ht="13.2" hidden="false" customHeight="false" outlineLevel="0" collapsed="false">
      <c r="A14" s="7" t="str">
        <f aca="false">PROPER(TRIM(raw_data!A:A))</f>
        <v>40Cm Gold Diy Acrylic Wall Sticker Clock</v>
      </c>
      <c r="B14" s="8" t="n">
        <f aca="false">IFERROR(VALUE(TRIM(SUBSTITUTE(LOWER(raw_data!B57), "ksh", ""))), "")</f>
        <v>499</v>
      </c>
      <c r="C14" s="8" t="n">
        <f aca="false">IFERROR(VALUE(TRIM(SUBSTITUTE(LOWER(raw_data!C57), "ksh", ""))), "")</f>
        <v>900</v>
      </c>
      <c r="D14" s="21" t="n">
        <f aca="false">VALUE(TRIM(raw_data!D57))</f>
        <v>0.45</v>
      </c>
      <c r="E14" s="10" t="str">
        <f aca="false">IF(ISBLANK(raw_data!E57),"",ABS(TRIM(raw_data!E57)))</f>
        <v/>
      </c>
      <c r="F14" s="11" t="str">
        <f aca="false">IF(ISBLANK(raw_data!F57),"",VALUE(LEFT(raw_data!F57,FIND(" ", raw_data!F57,1))))</f>
        <v/>
      </c>
      <c r="G14" s="22" t="n">
        <f aca="false">IFERROR(ROUND(D14-((C14-B14)/C14),4), "")</f>
        <v>0.0044</v>
      </c>
      <c r="H14" s="2" t="str">
        <f aca="false">=IF(OR(D14="", C14=""), "",IF(C14 &lt; B14, "Check prices", "OK"))</f>
        <v>OK</v>
      </c>
      <c r="I14" s="7" t="str">
        <f aca="false">IF(F14="","",IF(OR(F14&lt;0,F14&gt;5),"EVALUATE","OK"))</f>
        <v/>
      </c>
      <c r="J14" s="23" t="str">
        <f aca="false">IF(D14="","",IF(OR(D14&lt;0,D14&gt;5),"EVALUATE","OK"))</f>
        <v>OK</v>
      </c>
      <c r="K14" s="8" t="n">
        <f aca="false">IFERROR(C14-B14,"")</f>
        <v>401</v>
      </c>
      <c r="L14" s="7" t="str">
        <f aca="false">IF(ISBLANK(F14), "MISSING", IF(F14&lt;3, "POOR", IF(F14&gt;4.5, "EXCELLENT", IF(AND(F14&gt;=3, F14&lt;=4), "AVERAGE", "UN-CATEGORISED"))))</f>
        <v>EXCELLENT</v>
      </c>
      <c r="M14" s="7" t="str">
        <f aca="false">IF(L14="UN-CATEGORISED", "AVERAGE", L14)</f>
        <v>EXCELLENT</v>
      </c>
    </row>
    <row r="15" customFormat="false" ht="13.2" hidden="false" customHeight="false" outlineLevel="0" collapsed="false">
      <c r="A15" s="7" t="str">
        <f aca="false">PROPER(TRIM(raw_data!A:A))</f>
        <v>Lasa Digital Thermometer And Hydrometer</v>
      </c>
      <c r="B15" s="8" t="n">
        <f aca="false">IFERROR(VALUE(TRIM(SUBSTITUTE(LOWER(raw_data!B32), "ksh", ""))), "")</f>
        <v>185</v>
      </c>
      <c r="C15" s="8" t="n">
        <f aca="false">IFERROR(VALUE(TRIM(SUBSTITUTE(LOWER(raw_data!C32), "ksh", ""))), "")</f>
        <v>382</v>
      </c>
      <c r="D15" s="21" t="n">
        <f aca="false">VALUE(TRIM(raw_data!D32))</f>
        <v>0.52</v>
      </c>
      <c r="E15" s="10" t="n">
        <f aca="false">IF(ISBLANK(raw_data!E32),"",ABS(TRIM(raw_data!E32)))</f>
        <v>9</v>
      </c>
      <c r="F15" s="11" t="n">
        <f aca="false">IF(ISBLANK(raw_data!F32),"",VALUE(LEFT(raw_data!F32,FIND(" ", raw_data!F32,1))))</f>
        <v>4.3</v>
      </c>
      <c r="G15" s="22" t="n">
        <f aca="false">IFERROR(ROUND(D15-((C15-B15)/C15),4), "")</f>
        <v>0.0043</v>
      </c>
      <c r="H15" s="2" t="str">
        <f aca="false">=IF(OR(D15="", C15=""), "",IF(C15 &lt; B15, "Check prices", "OK"))</f>
        <v>OK</v>
      </c>
      <c r="I15" s="7" t="str">
        <f aca="false">IF(F15="","",IF(OR(F15&lt;0,F15&gt;5),"EVALUATE","OK"))</f>
        <v>OK</v>
      </c>
      <c r="J15" s="23" t="str">
        <f aca="false">IF(D15="","",IF(OR(D15&lt;0,D15&gt;5),"EVALUATE","OK"))</f>
        <v>OK</v>
      </c>
      <c r="K15" s="8" t="n">
        <f aca="false">IFERROR(C15-B15,"")</f>
        <v>197</v>
      </c>
      <c r="L15" s="7" t="str">
        <f aca="false">IF(ISBLANK(F15), "MISSING", IF(F15&lt;3, "POOR", IF(F15&gt;4.5, "EXCELLENT", IF(AND(F15&gt;=3, F15&lt;=4), "AVERAGE", "UN-CATEGORISED"))))</f>
        <v>UN-CATEGORISED</v>
      </c>
      <c r="M15" s="7" t="str">
        <f aca="false">IF(L15="UN-CATEGORISED", "AVERAGE", L15)</f>
        <v>AVERAGE</v>
      </c>
    </row>
    <row r="16" customFormat="false" ht="13.2" hidden="false" customHeight="false" outlineLevel="0" collapsed="false">
      <c r="A16" s="7" t="str">
        <f aca="false">PROPER(TRIM(raw_data!A:A))</f>
        <v>Multifunction Laser Level With Adjustment Tripod</v>
      </c>
      <c r="B16" s="8" t="n">
        <f aca="false">IFERROR(VALUE(TRIM(SUBSTITUTE(LOWER(raw_data!B92), "ksh", ""))), "")</f>
        <v>1468</v>
      </c>
      <c r="C16" s="8" t="n">
        <f aca="false">IFERROR(VALUE(TRIM(SUBSTITUTE(LOWER(raw_data!C92), "ksh", ""))), "")</f>
        <v>1699</v>
      </c>
      <c r="D16" s="21" t="n">
        <f aca="false">VALUE(TRIM(raw_data!D92))</f>
        <v>0.14</v>
      </c>
      <c r="E16" s="10" t="str">
        <f aca="false">IF(ISBLANK(raw_data!E92),"",ABS(TRIM(raw_data!E92)))</f>
        <v/>
      </c>
      <c r="F16" s="11" t="str">
        <f aca="false">IF(ISBLANK(raw_data!F92),"",VALUE(LEFT(raw_data!F92,FIND(" ", raw_data!F92,1))))</f>
        <v/>
      </c>
      <c r="G16" s="22" t="n">
        <f aca="false">IFERROR(ROUND(D16-((C16-B16)/C16),4), "")</f>
        <v>0.004</v>
      </c>
      <c r="H16" s="2" t="str">
        <f aca="false">=IF(OR(D16="", C16=""), "",IF(C16 &lt; B16, "Check prices", "OK"))</f>
        <v>OK</v>
      </c>
      <c r="I16" s="7" t="str">
        <f aca="false">IF(F16="","",IF(OR(F16&lt;0,F16&gt;5),"EVALUATE","OK"))</f>
        <v/>
      </c>
      <c r="J16" s="23" t="str">
        <f aca="false">IF(D16="","",IF(OR(D16&lt;0,D16&gt;5),"EVALUATE","OK"))</f>
        <v>OK</v>
      </c>
      <c r="K16" s="8" t="n">
        <f aca="false">IFERROR(C16-B16,"")</f>
        <v>231</v>
      </c>
      <c r="L16" s="7" t="str">
        <f aca="false">IF(ISBLANK(F16), "MISSING", IF(F16&lt;3, "POOR", IF(F16&gt;4.5, "EXCELLENT", IF(AND(F16&gt;=3, F16&lt;=4), "AVERAGE", "UN-CATEGORISED"))))</f>
        <v>EXCELLENT</v>
      </c>
      <c r="M16" s="7" t="str">
        <f aca="false">IF(L16="UN-CATEGORISED", "AVERAGE", L16)</f>
        <v>EXCELLENT</v>
      </c>
    </row>
    <row r="17" customFormat="false" ht="13.2" hidden="false" customHeight="false" outlineLevel="0" collapsed="false">
      <c r="A17" s="7" t="str">
        <f aca="false">PROPER(TRIM(raw_data!A:A))</f>
        <v>Anti-Skid Absorbent Insulation Coaster For Home Office</v>
      </c>
      <c r="B17" s="8" t="n">
        <f aca="false">IFERROR(VALUE(TRIM(SUBSTITUTE(LOWER(raw_data!B36), "ksh", ""))), "")</f>
        <v>1980</v>
      </c>
      <c r="C17" s="8" t="n">
        <f aca="false">IFERROR(VALUE(TRIM(SUBSTITUTE(LOWER(raw_data!C36), "ksh", ""))), "")</f>
        <v>2699</v>
      </c>
      <c r="D17" s="21" t="n">
        <f aca="false">VALUE(TRIM(raw_data!D36))</f>
        <v>0.27</v>
      </c>
      <c r="E17" s="10" t="n">
        <f aca="false">IF(ISBLANK(raw_data!E36),"",ABS(TRIM(raw_data!E36)))</f>
        <v>32</v>
      </c>
      <c r="F17" s="11" t="n">
        <f aca="false">IF(ISBLANK(raw_data!F36),"",VALUE(LEFT(raw_data!F36,FIND(" ", raw_data!F36,1))))</f>
        <v>4.5</v>
      </c>
      <c r="G17" s="22" t="n">
        <f aca="false">IFERROR(ROUND(D17-((C17-B17)/C17),4), "")</f>
        <v>0.0036</v>
      </c>
      <c r="H17" s="2" t="str">
        <f aca="false">=IF(OR(D17="", C17=""), "",IF(C17 &lt; B17, "Check prices", "OK"))</f>
        <v>OK</v>
      </c>
      <c r="I17" s="7" t="str">
        <f aca="false">IF(F17="","",IF(OR(F17&lt;0,F17&gt;5),"EVALUATE","OK"))</f>
        <v>OK</v>
      </c>
      <c r="J17" s="23" t="str">
        <f aca="false">IF(D17="","",IF(OR(D17&lt;0,D17&gt;5),"EVALUATE","OK"))</f>
        <v>OK</v>
      </c>
      <c r="K17" s="8" t="n">
        <f aca="false">IFERROR(C17-B17,"")</f>
        <v>719</v>
      </c>
      <c r="L17" s="7" t="str">
        <f aca="false">IF(ISBLANK(F17), "MISSING", IF(F17&lt;3, "POOR", IF(F17&gt;4.5, "EXCELLENT", IF(AND(F17&gt;=3, F17&lt;=4), "AVERAGE", "UN-CATEGORISED"))))</f>
        <v>UN-CATEGORISED</v>
      </c>
      <c r="M17" s="7" t="str">
        <f aca="false">IF(L17="UN-CATEGORISED", "AVERAGE", L17)</f>
        <v>AVERAGE</v>
      </c>
    </row>
    <row r="18" customFormat="false" ht="13.2" hidden="false" customHeight="false" outlineLevel="0" collapsed="false">
      <c r="A18" s="7" t="str">
        <f aca="false">PROPER(TRIM(raw_data!A:A))</f>
        <v>Peacock Throw Pillow Cushion Case For Home Car</v>
      </c>
      <c r="B18" s="8" t="n">
        <f aca="false">IFERROR(VALUE(TRIM(SUBSTITUTE(LOWER(raw_data!B75), "ksh", ""))), "")</f>
        <v>968</v>
      </c>
      <c r="C18" s="8" t="n">
        <f aca="false">IFERROR(VALUE(TRIM(SUBSTITUTE(LOWER(raw_data!C75), "ksh", ""))), "")</f>
        <v>1814</v>
      </c>
      <c r="D18" s="21" t="n">
        <f aca="false">VALUE(TRIM(raw_data!D75))</f>
        <v>0.47</v>
      </c>
      <c r="E18" s="10" t="n">
        <f aca="false">IF(ISBLANK(raw_data!E75),"",ABS(TRIM(raw_data!E75)))</f>
        <v>6</v>
      </c>
      <c r="F18" s="11" t="n">
        <f aca="false">IF(ISBLANK(raw_data!F75),"",VALUE(LEFT(raw_data!F75,FIND(" ", raw_data!F75,1))))</f>
        <v>2.2</v>
      </c>
      <c r="G18" s="22" t="n">
        <f aca="false">IFERROR(ROUND(D18-((C18-B18)/C18),4), "")</f>
        <v>0.0036</v>
      </c>
      <c r="H18" s="2" t="str">
        <f aca="false">=IF(OR(D18="", C18=""), "",IF(C18 &lt; B18, "Check prices", "OK"))</f>
        <v>OK</v>
      </c>
      <c r="I18" s="7" t="str">
        <f aca="false">IF(F18="","",IF(OR(F18&lt;0,F18&gt;5),"EVALUATE","OK"))</f>
        <v>OK</v>
      </c>
      <c r="J18" s="23" t="str">
        <f aca="false">IF(D18="","",IF(OR(D18&lt;0,D18&gt;5),"EVALUATE","OK"))</f>
        <v>OK</v>
      </c>
      <c r="K18" s="8" t="n">
        <f aca="false">IFERROR(C18-B18,"")</f>
        <v>846</v>
      </c>
      <c r="L18" s="7" t="str">
        <f aca="false">IF(ISBLANK(F18), "MISSING", IF(F18&lt;3, "POOR", IF(F18&gt;4.5, "EXCELLENT", IF(AND(F18&gt;=3, F18&lt;=4), "AVERAGE", "UN-CATEGORISED"))))</f>
        <v>POOR</v>
      </c>
      <c r="M18" s="7" t="str">
        <f aca="false">IF(L18="UN-CATEGORISED", "AVERAGE", L18)</f>
        <v>POOR</v>
      </c>
    </row>
    <row r="19" customFormat="false" ht="13.2" hidden="false" customHeight="false" outlineLevel="0" collapsed="false">
      <c r="A19" s="7" t="str">
        <f aca="false">PROPER(TRIM(raw_data!A:A))</f>
        <v>Lasa Aluminum Folding Truck Hand Cart - 68Kg Max</v>
      </c>
      <c r="B19" s="8" t="n">
        <f aca="false">IFERROR(VALUE(TRIM(SUBSTITUTE(LOWER(raw_data!B30), "ksh", ""))), "")</f>
        <v>1758</v>
      </c>
      <c r="C19" s="8" t="n">
        <f aca="false">IFERROR(VALUE(TRIM(SUBSTITUTE(LOWER(raw_data!C30), "ksh", ""))), "")</f>
        <v>2499</v>
      </c>
      <c r="D19" s="21" t="n">
        <f aca="false">VALUE(TRIM(raw_data!D30))</f>
        <v>0.3</v>
      </c>
      <c r="E19" s="10" t="n">
        <f aca="false">IF(ISBLANK(raw_data!E30),"",ABS(TRIM(raw_data!E30)))</f>
        <v>20</v>
      </c>
      <c r="F19" s="11" t="n">
        <f aca="false">IF(ISBLANK(raw_data!F30),"",VALUE(LEFT(raw_data!F30,FIND(" ", raw_data!F30,1))))</f>
        <v>4.1</v>
      </c>
      <c r="G19" s="22" t="n">
        <f aca="false">IFERROR(ROUND(D19-((C19-B19)/C19),4), "")</f>
        <v>0.0035</v>
      </c>
      <c r="H19" s="2" t="str">
        <f aca="false">=IF(OR(D19="", C19=""), "",IF(C19 &lt; B19, "Check prices", "OK"))</f>
        <v>OK</v>
      </c>
      <c r="I19" s="7" t="str">
        <f aca="false">IF(F19="","",IF(OR(F19&lt;0,F19&gt;5),"EVALUATE","OK"))</f>
        <v>OK</v>
      </c>
      <c r="J19" s="23" t="str">
        <f aca="false">IF(D19="","",IF(OR(D19&lt;0,D19&gt;5),"EVALUATE","OK"))</f>
        <v>OK</v>
      </c>
      <c r="K19" s="8" t="n">
        <f aca="false">IFERROR(C19-B19,"")</f>
        <v>741</v>
      </c>
      <c r="L19" s="7" t="str">
        <f aca="false">IF(ISBLANK(F19), "MISSING", IF(F19&lt;3, "POOR", IF(F19&gt;4.5, "EXCELLENT", IF(AND(F19&gt;=3, F19&lt;=4), "AVERAGE", "UN-CATEGORISED"))))</f>
        <v>UN-CATEGORISED</v>
      </c>
      <c r="M19" s="7" t="str">
        <f aca="false">IF(L19="UN-CATEGORISED", "AVERAGE", L19)</f>
        <v>AVERAGE</v>
      </c>
    </row>
    <row r="20" customFormat="false" ht="13.2" hidden="false" customHeight="false" outlineLevel="0" collapsed="false">
      <c r="A20" s="7" t="str">
        <f aca="false">PROPER(TRIM(raw_data!A:A))</f>
        <v>Led Wall Digital Alarm Clock Study Home 12 / 24H Clock Calendar</v>
      </c>
      <c r="B20" s="8" t="n">
        <f aca="false">IFERROR(VALUE(TRIM(SUBSTITUTE(LOWER(raw_data!B106), "ksh", ""))), "")</f>
        <v>3640</v>
      </c>
      <c r="C20" s="8" t="n">
        <f aca="false">IFERROR(VALUE(TRIM(SUBSTITUTE(LOWER(raw_data!C106), "ksh", ""))), "")</f>
        <v>4588</v>
      </c>
      <c r="D20" s="21" t="n">
        <f aca="false">VALUE(TRIM(raw_data!D106))</f>
        <v>0.21</v>
      </c>
      <c r="E20" s="10" t="n">
        <f aca="false">IF(ISBLANK(raw_data!E106),"",ABS(TRIM(raw_data!E106)))</f>
        <v>1</v>
      </c>
      <c r="F20" s="11" t="n">
        <f aca="false">IF(ISBLANK(raw_data!F106),"",VALUE(LEFT(raw_data!F106,FIND(" ", raw_data!F106,1))))</f>
        <v>5</v>
      </c>
      <c r="G20" s="22" t="n">
        <f aca="false">IFERROR(ROUND(D20-((C20-B20)/C20),4), "")</f>
        <v>0.0034</v>
      </c>
      <c r="H20" s="2" t="str">
        <f aca="false">=IF(OR(D20="", C20=""), "",IF(C20 &lt; B20, "Check prices", "OK"))</f>
        <v>OK</v>
      </c>
      <c r="I20" s="7" t="str">
        <f aca="false">IF(F20="","",IF(OR(F20&lt;0,F20&gt;5),"EVALUATE","OK"))</f>
        <v>OK</v>
      </c>
      <c r="J20" s="23" t="str">
        <f aca="false">IF(D20="","",IF(OR(D20&lt;0,D20&gt;5),"EVALUATE","OK"))</f>
        <v>OK</v>
      </c>
      <c r="K20" s="8" t="n">
        <f aca="false">IFERROR(C20-B20,"")</f>
        <v>948</v>
      </c>
      <c r="L20" s="7" t="str">
        <f aca="false">IF(ISBLANK(F20), "MISSING", IF(F20&lt;3, "POOR", IF(F20&gt;4.5, "EXCELLENT", IF(AND(F20&gt;=3, F20&lt;=4), "AVERAGE", "UN-CATEGORISED"))))</f>
        <v>EXCELLENT</v>
      </c>
      <c r="M20" s="7" t="str">
        <f aca="false">IF(L20="UN-CATEGORISED", "AVERAGE", L20)</f>
        <v>EXCELLENT</v>
      </c>
    </row>
    <row r="21" customFormat="false" ht="13.2" hidden="false" customHeight="false" outlineLevel="0" collapsed="false">
      <c r="A21" s="7" t="str">
        <f aca="false">PROPER(TRIM(raw_data!A:A))</f>
        <v>3D Waterproof Eva Plastic Shower Curtain 1.8*2Mtrs</v>
      </c>
      <c r="B21" s="8" t="n">
        <f aca="false">IFERROR(VALUE(TRIM(SUBSTITUTE(LOWER(raw_data!B14), "ksh", ""))), "")</f>
        <v>552</v>
      </c>
      <c r="C21" s="8" t="n">
        <f aca="false">IFERROR(VALUE(TRIM(SUBSTITUTE(LOWER(raw_data!C14), "ksh", ""))), "")</f>
        <v>1035</v>
      </c>
      <c r="D21" s="21" t="n">
        <f aca="false">VALUE(TRIM(raw_data!D14))</f>
        <v>0.47</v>
      </c>
      <c r="E21" s="10" t="n">
        <f aca="false">IF(ISBLANK(raw_data!E14),"",ABS(TRIM(raw_data!E14)))</f>
        <v>12</v>
      </c>
      <c r="F21" s="11" t="n">
        <f aca="false">IF(ISBLANK(raw_data!F14),"",VALUE(LEFT(raw_data!F14,FIND(" ", raw_data!F14,1))))</f>
        <v>4.8</v>
      </c>
      <c r="G21" s="22" t="n">
        <f aca="false">IFERROR(ROUND(D21-((C21-B21)/C21),4), "")</f>
        <v>0.0033</v>
      </c>
      <c r="H21" s="2" t="str">
        <f aca="false">=IF(OR(D21="", C21=""), "",IF(C21 &lt; B21, "Check prices", "OK"))</f>
        <v>OK</v>
      </c>
      <c r="I21" s="7" t="str">
        <f aca="false">IF(F21="","",IF(OR(F21&lt;0,F21&gt;5),"EVALUATE","OK"))</f>
        <v>OK</v>
      </c>
      <c r="J21" s="23" t="str">
        <f aca="false">IF(D21="","",IF(OR(D21&lt;0,D21&gt;5),"EVALUATE","OK"))</f>
        <v>OK</v>
      </c>
      <c r="K21" s="8" t="n">
        <f aca="false">IFERROR(C21-B21,"")</f>
        <v>483</v>
      </c>
      <c r="L21" s="7" t="str">
        <f aca="false">IF(ISBLANK(F21), "MISSING", IF(F21&lt;3, "POOR", IF(F21&gt;4.5, "EXCELLENT", IF(AND(F21&gt;=3, F21&lt;=4), "AVERAGE", "UN-CATEGORISED"))))</f>
        <v>EXCELLENT</v>
      </c>
      <c r="M21" s="7" t="str">
        <f aca="false">IF(L21="UN-CATEGORISED", "AVERAGE", L21)</f>
        <v>EXCELLENT</v>
      </c>
    </row>
    <row r="22" customFormat="false" ht="13.2" hidden="false" customHeight="false" outlineLevel="0" collapsed="false">
      <c r="A22" s="7" t="str">
        <f aca="false">PROPER(TRIM(raw_data!A:A))</f>
        <v>3Pcs Single Head Knitting Crochet Sweater Needle Set</v>
      </c>
      <c r="B22" s="8" t="n">
        <f aca="false">IFERROR(VALUE(TRIM(SUBSTITUTE(LOWER(raw_data!B55), "ksh", ""))), "")</f>
        <v>1459</v>
      </c>
      <c r="C22" s="8" t="n">
        <f aca="false">IFERROR(VALUE(TRIM(SUBSTITUTE(LOWER(raw_data!C55), "ksh", ""))), "")</f>
        <v>1499</v>
      </c>
      <c r="D22" s="21" t="n">
        <f aca="false">VALUE(TRIM(raw_data!D55))</f>
        <v>0.03</v>
      </c>
      <c r="E22" s="10" t="str">
        <f aca="false">IF(ISBLANK(raw_data!E55),"",ABS(TRIM(raw_data!E55)))</f>
        <v/>
      </c>
      <c r="F22" s="11" t="str">
        <f aca="false">IF(ISBLANK(raw_data!F55),"",VALUE(LEFT(raw_data!F55,FIND(" ", raw_data!F55,1))))</f>
        <v/>
      </c>
      <c r="G22" s="22" t="n">
        <f aca="false">IFERROR(ROUND(D22-((C22-B22)/C22),4), "")</f>
        <v>0.0033</v>
      </c>
      <c r="H22" s="2" t="str">
        <f aca="false">=IF(OR(D22="", C22=""), "",IF(C22 &lt; B22, "Check prices", "OK"))</f>
        <v>OK</v>
      </c>
      <c r="I22" s="7" t="str">
        <f aca="false">IF(F22="","",IF(OR(F22&lt;0,F22&gt;5),"EVALUATE","OK"))</f>
        <v/>
      </c>
      <c r="J22" s="23" t="str">
        <f aca="false">IF(D22="","",IF(OR(D22&lt;0,D22&gt;5),"EVALUATE","OK"))</f>
        <v>OK</v>
      </c>
      <c r="K22" s="8" t="n">
        <f aca="false">IFERROR(C22-B22,"")</f>
        <v>40</v>
      </c>
      <c r="L22" s="7" t="str">
        <f aca="false">IF(ISBLANK(F22), "MISSING", IF(F22&lt;3, "POOR", IF(F22&gt;4.5, "EXCELLENT", IF(AND(F22&gt;=3, F22&lt;=4), "AVERAGE", "UN-CATEGORISED"))))</f>
        <v>EXCELLENT</v>
      </c>
      <c r="M22" s="7" t="str">
        <f aca="false">IF(L22="UN-CATEGORISED", "AVERAGE", L22)</f>
        <v>EXCELLENT</v>
      </c>
    </row>
    <row r="23" customFormat="false" ht="13.2" hidden="false" customHeight="false" outlineLevel="0" collapsed="false">
      <c r="A23" s="7" t="str">
        <f aca="false">PROPER(TRIM(raw_data!A:A))</f>
        <v>4Pcs Bathroom/Kitchen Towel Rack,Roll Paper Holder,Towel Bars,Hook</v>
      </c>
      <c r="B23" s="8" t="n">
        <f aca="false">IFERROR(VALUE(TRIM(SUBSTITUTE(LOWER(raw_data!B73), "ksh", ""))), "")</f>
        <v>345</v>
      </c>
      <c r="C23" s="8" t="n">
        <f aca="false">IFERROR(VALUE(TRIM(SUBSTITUTE(LOWER(raw_data!C73), "ksh", ""))), "")</f>
        <v>602</v>
      </c>
      <c r="D23" s="21" t="n">
        <f aca="false">VALUE(TRIM(raw_data!D73))</f>
        <v>0.43</v>
      </c>
      <c r="E23" s="10" t="n">
        <f aca="false">IF(ISBLANK(raw_data!E73),"",ABS(TRIM(raw_data!E73)))</f>
        <v>6</v>
      </c>
      <c r="F23" s="11" t="n">
        <f aca="false">IF(ISBLANK(raw_data!F73),"",VALUE(LEFT(raw_data!F73,FIND(" ", raw_data!F73,1))))</f>
        <v>2.3</v>
      </c>
      <c r="G23" s="22" t="n">
        <f aca="false">IFERROR(ROUND(D23-((C23-B23)/C23),4), "")</f>
        <v>0.0031</v>
      </c>
      <c r="H23" s="2" t="str">
        <f aca="false">=IF(OR(D23="", C23=""), "",IF(C23 &lt; B23, "Check prices", "OK"))</f>
        <v>OK</v>
      </c>
      <c r="I23" s="7" t="str">
        <f aca="false">IF(F23="","",IF(OR(F23&lt;0,F23&gt;5),"EVALUATE","OK"))</f>
        <v>OK</v>
      </c>
      <c r="J23" s="23" t="str">
        <f aca="false">IF(D23="","",IF(OR(D23&lt;0,D23&gt;5),"EVALUATE","OK"))</f>
        <v>OK</v>
      </c>
      <c r="K23" s="8" t="n">
        <f aca="false">IFERROR(C23-B23,"")</f>
        <v>257</v>
      </c>
      <c r="L23" s="7" t="str">
        <f aca="false">IF(ISBLANK(F23), "MISSING", IF(F23&lt;3, "POOR", IF(F23&gt;4.5, "EXCELLENT", IF(AND(F23&gt;=3, F23&lt;=4), "AVERAGE", "UN-CATEGORISED"))))</f>
        <v>POOR</v>
      </c>
      <c r="M23" s="7" t="str">
        <f aca="false">IF(L23="UN-CATEGORISED", "AVERAGE", L23)</f>
        <v>POOR</v>
      </c>
    </row>
    <row r="24" customFormat="false" ht="13.2" hidden="false" customHeight="false" outlineLevel="0" collapsed="false">
      <c r="A24" s="7" t="str">
        <f aca="false">PROPER(TRIM(raw_data!A:A))</f>
        <v>Led Romantic Spaceship Starry Sky Projector,Children'S Bedroom Night Light-Blue</v>
      </c>
      <c r="B24" s="8" t="n">
        <f aca="false">IFERROR(VALUE(TRIM(SUBSTITUTE(LOWER(raw_data!B2), "ksh", ""))), "")</f>
        <v>950</v>
      </c>
      <c r="C24" s="8" t="n">
        <f aca="false">IFERROR(VALUE(TRIM(SUBSTITUTE(LOWER(raw_data!C2), "ksh", ""))), "")</f>
        <v>1525</v>
      </c>
      <c r="D24" s="21" t="n">
        <f aca="false">VALUE(TRIM(raw_data!D2))</f>
        <v>0.38</v>
      </c>
      <c r="E24" s="10" t="n">
        <f aca="false">IF(ISBLANK(raw_data!E2),"",ABS(TRIM(raw_data!E2)))</f>
        <v>2</v>
      </c>
      <c r="F24" s="11" t="n">
        <f aca="false">IF(ISBLANK(raw_data!F2),"",VALUE(LEFT(raw_data!F2,FIND(" ", raw_data!F2,1))))</f>
        <v>4.5</v>
      </c>
      <c r="G24" s="22" t="n">
        <f aca="false">IFERROR(ROUND(D24-((C24-B24)/C24),4), "")</f>
        <v>0.003</v>
      </c>
      <c r="H24" s="2" t="str">
        <f aca="false">=IF(OR(D24="", C24=""), "",IF(C24 &lt; B24, "Check prices", "OK"))</f>
        <v>OK</v>
      </c>
      <c r="I24" s="7" t="str">
        <f aca="false">IF(F24="","",IF(OR(F24&lt;0,F24&gt;5),"EVALUATE","OK"))</f>
        <v>OK</v>
      </c>
      <c r="J24" s="23" t="str">
        <f aca="false">IF(D24="","",IF(OR(D24&lt;0,D24&gt;5),"EVALUATE","OK"))</f>
        <v>OK</v>
      </c>
      <c r="K24" s="8" t="n">
        <f aca="false">IFERROR(C24-B24,"")</f>
        <v>575</v>
      </c>
      <c r="L24" s="7" t="str">
        <f aca="false">IF(ISBLANK(F24), "MISSING", IF(F24&lt;3, "POOR", IF(F24&gt;4.5, "EXCELLENT", IF(AND(F24&gt;=3, F24&lt;=4), "AVERAGE", "UN-CATEGORISED"))))</f>
        <v>UN-CATEGORISED</v>
      </c>
      <c r="M24" s="7" t="str">
        <f aca="false">IF(L24="UN-CATEGORISED", "AVERAGE", L24)</f>
        <v>AVERAGE</v>
      </c>
    </row>
    <row r="25" customFormat="false" ht="13.2" hidden="false" customHeight="false" outlineLevel="0" collapsed="false">
      <c r="A25" s="7" t="str">
        <f aca="false">PROPER(TRIM(raw_data!A:A))</f>
        <v>Foldable Overbed Table/Desk</v>
      </c>
      <c r="B25" s="8" t="n">
        <f aca="false">IFERROR(VALUE(TRIM(SUBSTITUTE(LOWER(raw_data!B39), "ksh", ""))), "")</f>
        <v>389</v>
      </c>
      <c r="C25" s="8" t="n">
        <f aca="false">IFERROR(VALUE(TRIM(SUBSTITUTE(LOWER(raw_data!C39), "ksh", ""))), "")</f>
        <v>656</v>
      </c>
      <c r="D25" s="21" t="n">
        <f aca="false">VALUE(TRIM(raw_data!D39))</f>
        <v>0.41</v>
      </c>
      <c r="E25" s="10" t="n">
        <f aca="false">IF(ISBLANK(raw_data!E39),"",ABS(TRIM(raw_data!E39)))</f>
        <v>36</v>
      </c>
      <c r="F25" s="11" t="n">
        <f aca="false">IF(ISBLANK(raw_data!F39),"",VALUE(LEFT(raw_data!F39,FIND(" ", raw_data!F39,1))))</f>
        <v>4.3</v>
      </c>
      <c r="G25" s="22" t="n">
        <f aca="false">IFERROR(ROUND(D25-((C25-B25)/C25),4), "")</f>
        <v>0.003</v>
      </c>
      <c r="H25" s="2" t="str">
        <f aca="false">=IF(OR(D25="", C25=""), "",IF(C25 &lt; B25, "Check prices", "OK"))</f>
        <v>OK</v>
      </c>
      <c r="I25" s="7" t="str">
        <f aca="false">IF(F25="","",IF(OR(F25&lt;0,F25&gt;5),"EVALUATE","OK"))</f>
        <v>OK</v>
      </c>
      <c r="J25" s="23" t="str">
        <f aca="false">IF(D25="","",IF(OR(D25&lt;0,D25&gt;5),"EVALUATE","OK"))</f>
        <v>OK</v>
      </c>
      <c r="K25" s="8" t="n">
        <f aca="false">IFERROR(C25-B25,"")</f>
        <v>267</v>
      </c>
      <c r="L25" s="7" t="str">
        <f aca="false">IF(ISBLANK(F25), "MISSING", IF(F25&lt;3, "POOR", IF(F25&gt;4.5, "EXCELLENT", IF(AND(F25&gt;=3, F25&lt;=4), "AVERAGE", "UN-CATEGORISED"))))</f>
        <v>UN-CATEGORISED</v>
      </c>
      <c r="M25" s="7" t="str">
        <f aca="false">IF(L25="UN-CATEGORISED", "AVERAGE", L25)</f>
        <v>AVERAGE</v>
      </c>
    </row>
    <row r="26" customFormat="false" ht="13.2" hidden="false" customHeight="false" outlineLevel="0" collapsed="false">
      <c r="A26" s="7" t="str">
        <f aca="false">PROPER(TRIM(raw_data!A:A))</f>
        <v>Lasa 3 Tier Bamboo Shoe Bench Storage Shelf</v>
      </c>
      <c r="B26" s="8" t="n">
        <f aca="false">IFERROR(VALUE(TRIM(SUBSTITUTE(LOWER(raw_data!B46), "ksh", ""))), "")</f>
        <v>2132</v>
      </c>
      <c r="C26" s="8" t="n">
        <f aca="false">IFERROR(VALUE(TRIM(SUBSTITUTE(LOWER(raw_data!C46), "ksh", ""))), "")</f>
        <v>2169</v>
      </c>
      <c r="D26" s="21" t="n">
        <f aca="false">VALUE(TRIM(raw_data!D46))</f>
        <v>0.02</v>
      </c>
      <c r="E26" s="10" t="str">
        <f aca="false">IF(ISBLANK(raw_data!E46),"",ABS(TRIM(raw_data!E46)))</f>
        <v/>
      </c>
      <c r="F26" s="11" t="str">
        <f aca="false">IF(ISBLANK(raw_data!F46),"",VALUE(LEFT(raw_data!F46,FIND(" ", raw_data!F46,1))))</f>
        <v/>
      </c>
      <c r="G26" s="22" t="n">
        <f aca="false">IFERROR(ROUND(D26-((C26-B26)/C26),4), "")</f>
        <v>0.0029</v>
      </c>
      <c r="H26" s="2" t="str">
        <f aca="false">=IF(OR(D26="", C26=""), "",IF(C26 &lt; B26, "Check prices", "OK"))</f>
        <v>OK</v>
      </c>
      <c r="I26" s="7" t="str">
        <f aca="false">IF(F26="","",IF(OR(F26&lt;0,F26&gt;5),"EVALUATE","OK"))</f>
        <v/>
      </c>
      <c r="J26" s="23" t="str">
        <f aca="false">IF(D26="","",IF(OR(D26&lt;0,D26&gt;5),"EVALUATE","OK"))</f>
        <v>OK</v>
      </c>
      <c r="K26" s="8" t="n">
        <f aca="false">IFERROR(C26-B26,"")</f>
        <v>37</v>
      </c>
      <c r="L26" s="7" t="str">
        <f aca="false">IF(ISBLANK(F26), "MISSING", IF(F26&lt;3, "POOR", IF(F26&gt;4.5, "EXCELLENT", IF(AND(F26&gt;=3, F26&lt;=4), "AVERAGE", "UN-CATEGORISED"))))</f>
        <v>EXCELLENT</v>
      </c>
      <c r="M26" s="7" t="str">
        <f aca="false">IF(L26="UN-CATEGORISED", "AVERAGE", L26)</f>
        <v>EXCELLENT</v>
      </c>
    </row>
    <row r="27" customFormat="false" ht="13.2" hidden="false" customHeight="false" outlineLevel="0" collapsed="false">
      <c r="A27" s="7" t="str">
        <f aca="false">PROPER(TRIM(raw_data!A:A))</f>
        <v>Electronic Digital Display Vernier Caliper</v>
      </c>
      <c r="B27" s="8" t="n">
        <f aca="false">IFERROR(VALUE(TRIM(SUBSTITUTE(LOWER(raw_data!B88), "ksh", ""))), "")</f>
        <v>1466</v>
      </c>
      <c r="C27" s="8" t="n">
        <f aca="false">IFERROR(VALUE(TRIM(SUBSTITUTE(LOWER(raw_data!C88), "ksh", ""))), "")</f>
        <v>1699</v>
      </c>
      <c r="D27" s="21" t="n">
        <f aca="false">VALUE(TRIM(raw_data!D88))</f>
        <v>0.14</v>
      </c>
      <c r="E27" s="10" t="str">
        <f aca="false">IF(ISBLANK(raw_data!E88),"",ABS(TRIM(raw_data!E88)))</f>
        <v/>
      </c>
      <c r="F27" s="11" t="str">
        <f aca="false">IF(ISBLANK(raw_data!F88),"",VALUE(LEFT(raw_data!F88,FIND(" ", raw_data!F88,1))))</f>
        <v/>
      </c>
      <c r="G27" s="22" t="n">
        <f aca="false">IFERROR(ROUND(D27-((C27-B27)/C27),4), "")</f>
        <v>0.0029</v>
      </c>
      <c r="H27" s="2" t="str">
        <f aca="false">=IF(OR(D27="", C27=""), "",IF(C27 &lt; B27, "Check prices", "OK"))</f>
        <v>OK</v>
      </c>
      <c r="I27" s="7" t="str">
        <f aca="false">IF(F27="","",IF(OR(F27&lt;0,F27&gt;5),"EVALUATE","OK"))</f>
        <v/>
      </c>
      <c r="J27" s="23" t="str">
        <f aca="false">IF(D27="","",IF(OR(D27&lt;0,D27&gt;5),"EVALUATE","OK"))</f>
        <v>OK</v>
      </c>
      <c r="K27" s="8" t="n">
        <f aca="false">IFERROR(C27-B27,"")</f>
        <v>233</v>
      </c>
      <c r="L27" s="7" t="str">
        <f aca="false">IF(ISBLANK(F27), "MISSING", IF(F27&lt;3, "POOR", IF(F27&gt;4.5, "EXCELLENT", IF(AND(F27&gt;=3, F27&lt;=4), "AVERAGE", "UN-CATEGORISED"))))</f>
        <v>EXCELLENT</v>
      </c>
      <c r="M27" s="7" t="str">
        <f aca="false">IF(L27="UN-CATEGORISED", "AVERAGE", L27)</f>
        <v>EXCELLENT</v>
      </c>
    </row>
    <row r="28" customFormat="false" ht="13.2" hidden="false" customHeight="false" outlineLevel="0" collapsed="false">
      <c r="A28" s="7" t="str">
        <f aca="false">PROPER(TRIM(raw_data!A:A))</f>
        <v>Portable Wardrobe Nonwoven With 3 Hanging Rods And 6 Storage Shelves</v>
      </c>
      <c r="B28" s="8" t="n">
        <f aca="false">IFERROR(VALUE(TRIM(SUBSTITUTE(LOWER(raw_data!B79), "ksh", ""))), "")</f>
        <v>1732</v>
      </c>
      <c r="C28" s="8" t="n">
        <f aca="false">IFERROR(VALUE(TRIM(SUBSTITUTE(LOWER(raw_data!C79), "ksh", ""))), "")</f>
        <v>1799</v>
      </c>
      <c r="D28" s="21" t="n">
        <f aca="false">VALUE(TRIM(raw_data!D79))</f>
        <v>0.04</v>
      </c>
      <c r="E28" s="10" t="str">
        <f aca="false">IF(ISBLANK(raw_data!E79),"",ABS(TRIM(raw_data!E79)))</f>
        <v/>
      </c>
      <c r="F28" s="11" t="str">
        <f aca="false">IF(ISBLANK(raw_data!F79),"",VALUE(LEFT(raw_data!F79,FIND(" ", raw_data!F79,1))))</f>
        <v/>
      </c>
      <c r="G28" s="22" t="n">
        <f aca="false">IFERROR(ROUND(D28-((C28-B28)/C28),4), "")</f>
        <v>0.0028</v>
      </c>
      <c r="H28" s="2" t="str">
        <f aca="false">=IF(OR(D28="", C28=""), "",IF(C28 &lt; B28, "Check prices", "OK"))</f>
        <v>OK</v>
      </c>
      <c r="I28" s="7" t="str">
        <f aca="false">IF(F28="","",IF(OR(F28&lt;0,F28&gt;5),"EVALUATE","OK"))</f>
        <v/>
      </c>
      <c r="J28" s="23" t="str">
        <f aca="false">IF(D28="","",IF(OR(D28&lt;0,D28&gt;5),"EVALUATE","OK"))</f>
        <v>OK</v>
      </c>
      <c r="K28" s="8" t="n">
        <f aca="false">IFERROR(C28-B28,"")</f>
        <v>67</v>
      </c>
      <c r="L28" s="7" t="str">
        <f aca="false">IF(ISBLANK(F28), "MISSING", IF(F28&lt;3, "POOR", IF(F28&gt;4.5, "EXCELLENT", IF(AND(F28&gt;=3, F28&lt;=4), "AVERAGE", "UN-CATEGORISED"))))</f>
        <v>EXCELLENT</v>
      </c>
      <c r="M28" s="7" t="str">
        <f aca="false">IF(L28="UN-CATEGORISED", "AVERAGE", L28)</f>
        <v>EXCELLENT</v>
      </c>
    </row>
    <row r="29" customFormat="false" ht="13.2" hidden="false" customHeight="false" outlineLevel="0" collapsed="false">
      <c r="A29" s="7" t="str">
        <f aca="false">PROPER(TRIM(raw_data!A:A))</f>
        <v>12 Litre Black Insulated Lunch Box</v>
      </c>
      <c r="B29" s="8" t="n">
        <f aca="false">IFERROR(VALUE(TRIM(SUBSTITUTE(LOWER(raw_data!B113), "ksh", ""))), "")</f>
        <v>1768</v>
      </c>
      <c r="C29" s="8" t="n">
        <f aca="false">IFERROR(VALUE(TRIM(SUBSTITUTE(LOWER(raw_data!C113), "ksh", ""))), "")</f>
        <v>1799</v>
      </c>
      <c r="D29" s="21" t="n">
        <f aca="false">VALUE(TRIM(raw_data!D113))</f>
        <v>0.02</v>
      </c>
      <c r="E29" s="10" t="str">
        <f aca="false">IF(ISBLANK(raw_data!E113),"",ABS(TRIM(raw_data!E113)))</f>
        <v/>
      </c>
      <c r="F29" s="11" t="str">
        <f aca="false">IF(ISBLANK(raw_data!F113),"",VALUE(LEFT(raw_data!F113,FIND(" ", raw_data!F113,1))))</f>
        <v/>
      </c>
      <c r="G29" s="22" t="n">
        <f aca="false">IFERROR(ROUND(D29-((C29-B29)/C29),4), "")</f>
        <v>0.0028</v>
      </c>
      <c r="H29" s="2" t="str">
        <f aca="false">=IF(OR(D29="", C29=""), "",IF(C29 &lt; B29, "Check prices", "OK"))</f>
        <v>OK</v>
      </c>
      <c r="I29" s="7" t="str">
        <f aca="false">IF(F29="","",IF(OR(F29&lt;0,F29&gt;5),"EVALUATE","OK"))</f>
        <v/>
      </c>
      <c r="J29" s="23" t="str">
        <f aca="false">IF(D29="","",IF(OR(D29&lt;0,D29&gt;5),"EVALUATE","OK"))</f>
        <v>OK</v>
      </c>
      <c r="K29" s="8" t="n">
        <f aca="false">IFERROR(C29-B29,"")</f>
        <v>31</v>
      </c>
      <c r="L29" s="7" t="str">
        <f aca="false">IF(ISBLANK(F29), "MISSING", IF(F29&lt;3, "POOR", IF(F29&gt;4.5, "EXCELLENT", IF(AND(F29&gt;=3, F29&lt;=4), "AVERAGE", "UN-CATEGORISED"))))</f>
        <v>EXCELLENT</v>
      </c>
      <c r="M29" s="7" t="str">
        <f aca="false">IF(L29="UN-CATEGORISED", "AVERAGE", L29)</f>
        <v>EXCELLENT</v>
      </c>
    </row>
    <row r="30" customFormat="false" ht="13.2" hidden="false" customHeight="false" outlineLevel="0" collapsed="false">
      <c r="A30" s="7" t="str">
        <f aca="false">PROPER(TRIM(raw_data!A:A))</f>
        <v>52 Pieces Cake Decorating Tool Set Gift Kit Baking Supplies</v>
      </c>
      <c r="B30" s="8" t="n">
        <f aca="false">IFERROR(VALUE(TRIM(SUBSTITUTE(LOWER(raw_data!B93), "ksh", ""))), "")</f>
        <v>630</v>
      </c>
      <c r="C30" s="8" t="n">
        <f aca="false">IFERROR(VALUE(TRIM(SUBSTITUTE(LOWER(raw_data!C93), "ksh", ""))), "")</f>
        <v>1100</v>
      </c>
      <c r="D30" s="21" t="n">
        <f aca="false">VALUE(TRIM(raw_data!D93))</f>
        <v>0.43</v>
      </c>
      <c r="E30" s="10" t="str">
        <f aca="false">IF(ISBLANK(raw_data!E93),"",ABS(TRIM(raw_data!E93)))</f>
        <v/>
      </c>
      <c r="F30" s="11" t="str">
        <f aca="false">IF(ISBLANK(raw_data!F93),"",VALUE(LEFT(raw_data!F93,FIND(" ", raw_data!F93,1))))</f>
        <v/>
      </c>
      <c r="G30" s="22" t="n">
        <f aca="false">IFERROR(ROUND(D30-((C30-B30)/C30),4), "")</f>
        <v>0.0027</v>
      </c>
      <c r="H30" s="2" t="str">
        <f aca="false">=IF(OR(D30="", C30=""), "",IF(C30 &lt; B30, "Check prices", "OK"))</f>
        <v>OK</v>
      </c>
      <c r="I30" s="7" t="str">
        <f aca="false">IF(F30="","",IF(OR(F30&lt;0,F30&gt;5),"EVALUATE","OK"))</f>
        <v/>
      </c>
      <c r="J30" s="23" t="str">
        <f aca="false">IF(D30="","",IF(OR(D30&lt;0,D30&gt;5),"EVALUATE","OK"))</f>
        <v>OK</v>
      </c>
      <c r="K30" s="8" t="n">
        <f aca="false">IFERROR(C30-B30,"")</f>
        <v>470</v>
      </c>
      <c r="L30" s="7" t="str">
        <f aca="false">IF(ISBLANK(F30), "MISSING", IF(F30&lt;3, "POOR", IF(F30&gt;4.5, "EXCELLENT", IF(AND(F30&gt;=3, F30&lt;=4), "AVERAGE", "UN-CATEGORISED"))))</f>
        <v>EXCELLENT</v>
      </c>
      <c r="M30" s="7" t="str">
        <f aca="false">IF(L30="UN-CATEGORISED", "AVERAGE", L30)</f>
        <v>EXCELLENT</v>
      </c>
    </row>
    <row r="31" customFormat="false" ht="13.2" hidden="false" customHeight="false" outlineLevel="0" collapsed="false">
      <c r="A31" s="7" t="str">
        <f aca="false">PROPER(TRIM(raw_data!A:A))</f>
        <v>Multifunctional Storage Rack Multi-Layer Bookshelf</v>
      </c>
      <c r="B31" s="8" t="n">
        <f aca="false">IFERROR(VALUE(TRIM(SUBSTITUTE(LOWER(raw_data!B15), "ksh", ""))), "")</f>
        <v>501</v>
      </c>
      <c r="C31" s="8" t="n">
        <f aca="false">IFERROR(VALUE(TRIM(SUBSTITUTE(LOWER(raw_data!C15), "ksh", ""))), "")</f>
        <v>860</v>
      </c>
      <c r="D31" s="21" t="n">
        <f aca="false">VALUE(TRIM(raw_data!D15))</f>
        <v>0.42</v>
      </c>
      <c r="E31" s="10" t="n">
        <f aca="false">IF(ISBLANK(raw_data!E15),"",ABS(TRIM(raw_data!E15)))</f>
        <v>6</v>
      </c>
      <c r="F31" s="11" t="n">
        <f aca="false">IF(ISBLANK(raw_data!F15),"",VALUE(LEFT(raw_data!F15,FIND(" ", raw_data!F15,1))))</f>
        <v>4.5</v>
      </c>
      <c r="G31" s="22" t="n">
        <f aca="false">IFERROR(ROUND(D31-((C31-B31)/C31),4), "")</f>
        <v>0.0026</v>
      </c>
      <c r="H31" s="2" t="str">
        <f aca="false">=IF(OR(D31="", C31=""), "",IF(C31 &lt; B31, "Check prices", "OK"))</f>
        <v>OK</v>
      </c>
      <c r="I31" s="7" t="str">
        <f aca="false">IF(F31="","",IF(OR(F31&lt;0,F31&gt;5),"EVALUATE","OK"))</f>
        <v>OK</v>
      </c>
      <c r="J31" s="23" t="str">
        <f aca="false">IF(D31="","",IF(OR(D31&lt;0,D31&gt;5),"EVALUATE","OK"))</f>
        <v>OK</v>
      </c>
      <c r="K31" s="8" t="n">
        <f aca="false">IFERROR(C31-B31,"")</f>
        <v>359</v>
      </c>
      <c r="L31" s="7" t="str">
        <f aca="false">IF(ISBLANK(F31), "MISSING", IF(F31&lt;3, "POOR", IF(F31&gt;4.5, "EXCELLENT", IF(AND(F31&gt;=3, F31&lt;=4), "AVERAGE", "UN-CATEGORISED"))))</f>
        <v>UN-CATEGORISED</v>
      </c>
      <c r="M31" s="7" t="str">
        <f aca="false">IF(L31="UN-CATEGORISED", "AVERAGE", L31)</f>
        <v>AVERAGE</v>
      </c>
    </row>
    <row r="32" customFormat="false" ht="13.2" hidden="false" customHeight="false" outlineLevel="0" collapsed="false">
      <c r="A32" s="7" t="str">
        <f aca="false">PROPER(TRIM(raw_data!A:A))</f>
        <v>Exfoliate And Exfoliate Face Towel - Black</v>
      </c>
      <c r="B32" s="8" t="n">
        <f aca="false">IFERROR(VALUE(TRIM(SUBSTITUTE(LOWER(raw_data!B4), "ksh", ""))), "")</f>
        <v>2199</v>
      </c>
      <c r="C32" s="8" t="n">
        <f aca="false">IFERROR(VALUE(TRIM(SUBSTITUTE(LOWER(raw_data!C4), "ksh", ""))), "")</f>
        <v>2923</v>
      </c>
      <c r="D32" s="21" t="n">
        <f aca="false">VALUE(TRIM(raw_data!D4))</f>
        <v>0.25</v>
      </c>
      <c r="E32" s="10" t="n">
        <f aca="false">IF(ISBLANK(raw_data!E4),"",ABS(TRIM(raw_data!E4)))</f>
        <v>24</v>
      </c>
      <c r="F32" s="11" t="n">
        <f aca="false">IF(ISBLANK(raw_data!F4),"",VALUE(LEFT(raw_data!F4,FIND(" ", raw_data!F4,1))))</f>
        <v>4.6</v>
      </c>
      <c r="G32" s="22" t="n">
        <f aca="false">IFERROR(ROUND(D32-((C32-B32)/C32),4), "")</f>
        <v>0.0023</v>
      </c>
      <c r="H32" s="2" t="str">
        <f aca="false">=IF(OR(D32="", C32=""), "",IF(C32 &lt; B32, "Check prices", "OK"))</f>
        <v>OK</v>
      </c>
      <c r="I32" s="7" t="str">
        <f aca="false">IF(F32="","",IF(OR(F32&lt;0,F32&gt;5),"EVALUATE","OK"))</f>
        <v>OK</v>
      </c>
      <c r="J32" s="23" t="str">
        <f aca="false">IF(D32="","",IF(OR(D32&lt;0,D32&gt;5),"EVALUATE","OK"))</f>
        <v>OK</v>
      </c>
      <c r="K32" s="8" t="n">
        <f aca="false">IFERROR(C32-B32,"")</f>
        <v>724</v>
      </c>
      <c r="L32" s="7" t="str">
        <f aca="false">IF(ISBLANK(F32), "MISSING", IF(F32&lt;3, "POOR", IF(F32&gt;4.5, "EXCELLENT", IF(AND(F32&gt;=3, F32&lt;=4), "AVERAGE", "UN-CATEGORISED"))))</f>
        <v>EXCELLENT</v>
      </c>
      <c r="M32" s="7" t="str">
        <f aca="false">IF(L32="UN-CATEGORISED", "AVERAGE", L32)</f>
        <v>EXCELLENT</v>
      </c>
    </row>
    <row r="33" customFormat="false" ht="13.2" hidden="false" customHeight="false" outlineLevel="0" collapsed="false">
      <c r="A33" s="7" t="str">
        <f aca="false">PROPER(TRIM(raw_data!A:A))</f>
        <v>12 Litre Insulated Lunch Box Grey</v>
      </c>
      <c r="B33" s="8" t="n">
        <f aca="false">IFERROR(VALUE(TRIM(SUBSTITUTE(LOWER(raw_data!B5), "ksh", ""))), "")</f>
        <v>1580</v>
      </c>
      <c r="C33" s="8" t="n">
        <f aca="false">IFERROR(VALUE(TRIM(SUBSTITUTE(LOWER(raw_data!C5), "ksh", ""))), "")</f>
        <v>2499</v>
      </c>
      <c r="D33" s="21" t="n">
        <f aca="false">VALUE(TRIM(raw_data!D5))</f>
        <v>0.37</v>
      </c>
      <c r="E33" s="10" t="n">
        <f aca="false">IF(ISBLANK(raw_data!E5),"",ABS(TRIM(raw_data!E5)))</f>
        <v>7</v>
      </c>
      <c r="F33" s="11" t="n">
        <f aca="false">IF(ISBLANK(raw_data!F5),"",VALUE(LEFT(raw_data!F5,FIND(" ", raw_data!F5,1))))</f>
        <v>4.7</v>
      </c>
      <c r="G33" s="22" t="n">
        <f aca="false">IFERROR(ROUND(D33-((C33-B33)/C33),4), "")</f>
        <v>0.0023</v>
      </c>
      <c r="H33" s="2" t="str">
        <f aca="false">=IF(OR(D33="", C33=""), "",IF(C33 &lt; B33, "Check prices", "OK"))</f>
        <v>OK</v>
      </c>
      <c r="I33" s="7" t="str">
        <f aca="false">IF(F33="","",IF(OR(F33&lt;0,F33&gt;5),"EVALUATE","OK"))</f>
        <v>OK</v>
      </c>
      <c r="J33" s="23" t="str">
        <f aca="false">IF(D33="","",IF(OR(D33&lt;0,D33&gt;5),"EVALUATE","OK"))</f>
        <v>OK</v>
      </c>
      <c r="K33" s="8" t="n">
        <f aca="false">IFERROR(C33-B33,"")</f>
        <v>919</v>
      </c>
      <c r="L33" s="7" t="str">
        <f aca="false">IF(ISBLANK(F33), "MISSING", IF(F33&lt;3, "POOR", IF(F33&gt;4.5, "EXCELLENT", IF(AND(F33&gt;=3, F33&lt;=4), "AVERAGE", "UN-CATEGORISED"))))</f>
        <v>EXCELLENT</v>
      </c>
      <c r="M33" s="7" t="str">
        <f aca="false">IF(L33="UN-CATEGORISED", "AVERAGE", L33)</f>
        <v>EXCELLENT</v>
      </c>
    </row>
    <row r="34" customFormat="false" ht="13.2" hidden="false" customHeight="false" outlineLevel="0" collapsed="false">
      <c r="A34" s="7" t="str">
        <f aca="false">PROPER(TRIM(raw_data!A:A))</f>
        <v>Led Eye Protection Desk Lamp , Study, Reading, Usb Fan - Double Pen Holder</v>
      </c>
      <c r="B34" s="8" t="n">
        <f aca="false">IFERROR(VALUE(TRIM(SUBSTITUTE(LOWER(raw_data!B16), "ksh", ""))), "")</f>
        <v>1680</v>
      </c>
      <c r="C34" s="8" t="n">
        <f aca="false">IFERROR(VALUE(TRIM(SUBSTITUTE(LOWER(raw_data!C16), "ksh", ""))), "")</f>
        <v>2499</v>
      </c>
      <c r="D34" s="21" t="n">
        <f aca="false">VALUE(TRIM(raw_data!D16))</f>
        <v>0.33</v>
      </c>
      <c r="E34" s="10" t="n">
        <f aca="false">IF(ISBLANK(raw_data!E16),"",ABS(TRIM(raw_data!E16)))</f>
        <v>9</v>
      </c>
      <c r="F34" s="11" t="n">
        <f aca="false">IF(ISBLANK(raw_data!F16),"",VALUE(LEFT(raw_data!F16,FIND(" ", raw_data!F16,1))))</f>
        <v>4.2</v>
      </c>
      <c r="G34" s="22" t="n">
        <f aca="false">IFERROR(ROUND(D34-((C34-B34)/C34),4), "")</f>
        <v>0.0023</v>
      </c>
      <c r="H34" s="2" t="str">
        <f aca="false">=IF(OR(D34="", C34=""), "",IF(C34 &lt; B34, "Check prices", "OK"))</f>
        <v>OK</v>
      </c>
      <c r="I34" s="7" t="str">
        <f aca="false">IF(F34="","",IF(OR(F34&lt;0,F34&gt;5),"EVALUATE","OK"))</f>
        <v>OK</v>
      </c>
      <c r="J34" s="23" t="str">
        <f aca="false">IF(D34="","",IF(OR(D34&lt;0,D34&gt;5),"EVALUATE","OK"))</f>
        <v>OK</v>
      </c>
      <c r="K34" s="8" t="n">
        <f aca="false">IFERROR(C34-B34,"")</f>
        <v>819</v>
      </c>
      <c r="L34" s="7" t="str">
        <f aca="false">IF(ISBLANK(F34), "MISSING", IF(F34&lt;3, "POOR", IF(F34&gt;4.5, "EXCELLENT", IF(AND(F34&gt;=3, F34&lt;=4), "AVERAGE", "UN-CATEGORISED"))))</f>
        <v>UN-CATEGORISED</v>
      </c>
      <c r="M34" s="7" t="str">
        <f aca="false">IF(L34="UN-CATEGORISED", "AVERAGE", L34)</f>
        <v>AVERAGE</v>
      </c>
    </row>
    <row r="35" customFormat="false" ht="13.2" hidden="false" customHeight="false" outlineLevel="0" collapsed="false">
      <c r="A35" s="7" t="str">
        <f aca="false">PROPER(TRIM(raw_data!A:A))</f>
        <v>53Pcs/Set Yarn Knitting Crochet Hooks With Bag - Fortune Cat</v>
      </c>
      <c r="B35" s="8" t="n">
        <f aca="false">IFERROR(VALUE(TRIM(SUBSTITUTE(LOWER(raw_data!B37), "ksh", ""))), "")</f>
        <v>1620</v>
      </c>
      <c r="C35" s="8" t="n">
        <f aca="false">IFERROR(VALUE(TRIM(SUBSTITUTE(LOWER(raw_data!C37), "ksh", ""))), "")</f>
        <v>2690</v>
      </c>
      <c r="D35" s="21" t="n">
        <f aca="false">VALUE(TRIM(raw_data!D37))</f>
        <v>0.4</v>
      </c>
      <c r="E35" s="10" t="n">
        <f aca="false">IF(ISBLANK(raw_data!E37),"",ABS(TRIM(raw_data!E37)))</f>
        <v>1</v>
      </c>
      <c r="F35" s="11" t="n">
        <f aca="false">IF(ISBLANK(raw_data!F37),"",VALUE(LEFT(raw_data!F37,FIND(" ", raw_data!F37,1))))</f>
        <v>5</v>
      </c>
      <c r="G35" s="22" t="n">
        <f aca="false">IFERROR(ROUND(D35-((C35-B35)/C35),4), "")</f>
        <v>0.0022</v>
      </c>
      <c r="H35" s="2" t="str">
        <f aca="false">=IF(OR(D35="", C35=""), "",IF(C35 &lt; B35, "Check prices", "OK"))</f>
        <v>OK</v>
      </c>
      <c r="I35" s="7" t="str">
        <f aca="false">IF(F35="","",IF(OR(F35&lt;0,F35&gt;5),"EVALUATE","OK"))</f>
        <v>OK</v>
      </c>
      <c r="J35" s="23" t="str">
        <f aca="false">IF(D35="","",IF(OR(D35&lt;0,D35&gt;5),"EVALUATE","OK"))</f>
        <v>OK</v>
      </c>
      <c r="K35" s="8" t="n">
        <f aca="false">IFERROR(C35-B35,"")</f>
        <v>1070</v>
      </c>
      <c r="L35" s="7" t="str">
        <f aca="false">IF(ISBLANK(F35), "MISSING", IF(F35&lt;3, "POOR", IF(F35&gt;4.5, "EXCELLENT", IF(AND(F35&gt;=3, F35&lt;=4), "AVERAGE", "UN-CATEGORISED"))))</f>
        <v>EXCELLENT</v>
      </c>
      <c r="M35" s="7" t="str">
        <f aca="false">IF(L35="UN-CATEGORISED", "AVERAGE", L35)</f>
        <v>EXCELLENT</v>
      </c>
    </row>
    <row r="36" customFormat="false" ht="13.2" hidden="false" customHeight="false" outlineLevel="0" collapsed="false">
      <c r="A36" s="7" t="str">
        <f aca="false">PROPER(TRIM(raw_data!A:A))</f>
        <v>53 Pieces/Set Yarn Knitting Crochet Hooks With Bag - Pansies</v>
      </c>
      <c r="B36" s="8" t="n">
        <f aca="false">IFERROR(VALUE(TRIM(SUBSTITUTE(LOWER(raw_data!B35), "ksh", ""))), "")</f>
        <v>1940</v>
      </c>
      <c r="C36" s="8" t="n">
        <f aca="false">IFERROR(VALUE(TRIM(SUBSTITUTE(LOWER(raw_data!C35), "ksh", ""))), "")</f>
        <v>2650</v>
      </c>
      <c r="D36" s="21" t="n">
        <f aca="false">VALUE(TRIM(raw_data!D35))</f>
        <v>0.27</v>
      </c>
      <c r="E36" s="10" t="n">
        <f aca="false">IF(ISBLANK(raw_data!E35),"",ABS(TRIM(raw_data!E35)))</f>
        <v>20</v>
      </c>
      <c r="F36" s="11" t="n">
        <f aca="false">IF(ISBLANK(raw_data!F35),"",VALUE(LEFT(raw_data!F35,FIND(" ", raw_data!F35,1))))</f>
        <v>4.7</v>
      </c>
      <c r="G36" s="22" t="n">
        <f aca="false">IFERROR(ROUND(D36-((C36-B36)/C36),4), "")</f>
        <v>0.0021</v>
      </c>
      <c r="H36" s="2" t="str">
        <f aca="false">=IF(OR(D36="", C36=""), "",IF(C36 &lt; B36, "Check prices", "OK"))</f>
        <v>OK</v>
      </c>
      <c r="I36" s="7" t="str">
        <f aca="false">IF(F36="","",IF(OR(F36&lt;0,F36&gt;5),"EVALUATE","OK"))</f>
        <v>OK</v>
      </c>
      <c r="J36" s="23" t="str">
        <f aca="false">IF(D36="","",IF(OR(D36&lt;0,D36&gt;5),"EVALUATE","OK"))</f>
        <v>OK</v>
      </c>
      <c r="K36" s="8" t="n">
        <f aca="false">IFERROR(C36-B36,"")</f>
        <v>710</v>
      </c>
      <c r="L36" s="7" t="str">
        <f aca="false">IF(ISBLANK(F36), "MISSING", IF(F36&lt;3, "POOR", IF(F36&gt;4.5, "EXCELLENT", IF(AND(F36&gt;=3, F36&lt;=4), "AVERAGE", "UN-CATEGORISED"))))</f>
        <v>EXCELLENT</v>
      </c>
      <c r="M36" s="7" t="str">
        <f aca="false">IF(L36="UN-CATEGORISED", "AVERAGE", L36)</f>
        <v>EXCELLENT</v>
      </c>
    </row>
    <row r="37" customFormat="false" ht="13.2" hidden="false" customHeight="false" outlineLevel="0" collapsed="false">
      <c r="A37" s="7" t="str">
        <f aca="false">PROPER(TRIM(raw_data!A:A))</f>
        <v>Diy File Folder, Office Drawer File Holder, Pen Holder, Desktop Storage Rack</v>
      </c>
      <c r="B37" s="8" t="n">
        <f aca="false">IFERROR(VALUE(TRIM(SUBSTITUTE(LOWER(raw_data!B110), "ksh", ""))), "")</f>
        <v>1150</v>
      </c>
      <c r="C37" s="8" t="n">
        <f aca="false">IFERROR(VALUE(TRIM(SUBSTITUTE(LOWER(raw_data!C110), "ksh", ""))), "")</f>
        <v>1737</v>
      </c>
      <c r="D37" s="21" t="n">
        <f aca="false">VALUE(TRIM(raw_data!D110))</f>
        <v>0.34</v>
      </c>
      <c r="E37" s="10" t="str">
        <f aca="false">IF(ISBLANK(raw_data!E110),"",ABS(TRIM(raw_data!E110)))</f>
        <v/>
      </c>
      <c r="F37" s="11" t="str">
        <f aca="false">IF(ISBLANK(raw_data!F110),"",VALUE(LEFT(raw_data!F110,FIND(" ", raw_data!F110,1))))</f>
        <v/>
      </c>
      <c r="G37" s="22" t="n">
        <f aca="false">IFERROR(ROUND(D37-((C37-B37)/C37),4), "")</f>
        <v>0.0021</v>
      </c>
      <c r="H37" s="2" t="str">
        <f aca="false">=IF(OR(D37="", C37=""), "",IF(C37 &lt; B37, "Check prices", "OK"))</f>
        <v>OK</v>
      </c>
      <c r="I37" s="7" t="str">
        <f aca="false">IF(F37="","",IF(OR(F37&lt;0,F37&gt;5),"EVALUATE","OK"))</f>
        <v/>
      </c>
      <c r="J37" s="23" t="str">
        <f aca="false">IF(D37="","",IF(OR(D37&lt;0,D37&gt;5),"EVALUATE","OK"))</f>
        <v>OK</v>
      </c>
      <c r="K37" s="8" t="n">
        <f aca="false">IFERROR(C37-B37,"")</f>
        <v>587</v>
      </c>
      <c r="L37" s="7" t="str">
        <f aca="false">IF(ISBLANK(F37), "MISSING", IF(F37&lt;3, "POOR", IF(F37&gt;4.5, "EXCELLENT", IF(AND(F37&gt;=3, F37&lt;=4), "AVERAGE", "UN-CATEGORISED"))))</f>
        <v>EXCELLENT</v>
      </c>
      <c r="M37" s="7" t="str">
        <f aca="false">IF(L37="UN-CATEGORISED", "AVERAGE", L37)</f>
        <v>EXCELLENT</v>
      </c>
    </row>
    <row r="38" customFormat="false" ht="13.2" hidden="false" customHeight="false" outlineLevel="0" collapsed="false">
      <c r="A38" s="7" t="str">
        <f aca="false">PROPER(TRIM(raw_data!A:A))</f>
        <v>Classic Black Cat Cotton Hemp Pillow Case For Home Car</v>
      </c>
      <c r="B38" s="8" t="n">
        <f aca="false">IFERROR(VALUE(TRIM(SUBSTITUTE(LOWER(raw_data!B77), "ksh", ""))), "")</f>
        <v>790</v>
      </c>
      <c r="C38" s="8" t="n">
        <f aca="false">IFERROR(VALUE(TRIM(SUBSTITUTE(LOWER(raw_data!C77), "ksh", ""))), "")</f>
        <v>1485</v>
      </c>
      <c r="D38" s="21" t="n">
        <f aca="false">VALUE(TRIM(raw_data!D77))</f>
        <v>0.47</v>
      </c>
      <c r="E38" s="10" t="str">
        <f aca="false">IF(ISBLANK(raw_data!E77),"",ABS(TRIM(raw_data!E77)))</f>
        <v/>
      </c>
      <c r="F38" s="11" t="str">
        <f aca="false">IF(ISBLANK(raw_data!F77),"",VALUE(LEFT(raw_data!F77,FIND(" ", raw_data!F77,1))))</f>
        <v/>
      </c>
      <c r="G38" s="22" t="n">
        <f aca="false">IFERROR(ROUND(D38-((C38-B38)/C38),4), "")</f>
        <v>0.002</v>
      </c>
      <c r="H38" s="2" t="str">
        <f aca="false">=IF(OR(D38="", C38=""), "",IF(C38 &lt; B38, "Check prices", "OK"))</f>
        <v>OK</v>
      </c>
      <c r="I38" s="7" t="str">
        <f aca="false">IF(F38="","",IF(OR(F38&lt;0,F38&gt;5),"EVALUATE","OK"))</f>
        <v/>
      </c>
      <c r="J38" s="23" t="str">
        <f aca="false">IF(D38="","",IF(OR(D38&lt;0,D38&gt;5),"EVALUATE","OK"))</f>
        <v>OK</v>
      </c>
      <c r="K38" s="8" t="n">
        <f aca="false">IFERROR(C38-B38,"")</f>
        <v>695</v>
      </c>
      <c r="L38" s="7" t="str">
        <f aca="false">IF(ISBLANK(F38), "MISSING", IF(F38&lt;3, "POOR", IF(F38&gt;4.5, "EXCELLENT", IF(AND(F38&gt;=3, F38&lt;=4), "AVERAGE", "UN-CATEGORISED"))))</f>
        <v>EXCELLENT</v>
      </c>
      <c r="M38" s="7" t="str">
        <f aca="false">IF(L38="UN-CATEGORISED", "AVERAGE", L38)</f>
        <v>EXCELLENT</v>
      </c>
    </row>
    <row r="39" customFormat="false" ht="13.2" hidden="false" customHeight="false" outlineLevel="0" collapsed="false">
      <c r="A39" s="7" t="str">
        <f aca="false">PROPER(TRIM(raw_data!A:A))</f>
        <v>Punch-Free Great Load Bearing Bathroom Storage Rack Wall Shelf-White</v>
      </c>
      <c r="B39" s="8" t="n">
        <f aca="false">IFERROR(VALUE(TRIM(SUBSTITUTE(LOWER(raw_data!B24), "ksh", ""))), "")</f>
        <v>880</v>
      </c>
      <c r="C39" s="8" t="n">
        <f aca="false">IFERROR(VALUE(TRIM(SUBSTITUTE(LOWER(raw_data!C24), "ksh", ""))), "")</f>
        <v>1350</v>
      </c>
      <c r="D39" s="21" t="n">
        <f aca="false">VALUE(TRIM(raw_data!D24))</f>
        <v>0.35</v>
      </c>
      <c r="E39" s="10" t="n">
        <f aca="false">IF(ISBLANK(raw_data!E24),"",ABS(TRIM(raw_data!E24)))</f>
        <v>6</v>
      </c>
      <c r="F39" s="11" t="n">
        <f aca="false">IF(ISBLANK(raw_data!F24),"",VALUE(LEFT(raw_data!F24,FIND(" ", raw_data!F24,1))))</f>
        <v>4</v>
      </c>
      <c r="G39" s="22" t="n">
        <f aca="false">IFERROR(ROUND(D39-((C39-B39)/C39),4), "")</f>
        <v>0.0019</v>
      </c>
      <c r="H39" s="2" t="str">
        <f aca="false">=IF(OR(D39="", C39=""), "",IF(C39 &lt; B39, "Check prices", "OK"))</f>
        <v>OK</v>
      </c>
      <c r="I39" s="7" t="str">
        <f aca="false">IF(F39="","",IF(OR(F39&lt;0,F39&gt;5),"EVALUATE","OK"))</f>
        <v>OK</v>
      </c>
      <c r="J39" s="23" t="str">
        <f aca="false">IF(D39="","",IF(OR(D39&lt;0,D39&gt;5),"EVALUATE","OK"))</f>
        <v>OK</v>
      </c>
      <c r="K39" s="8" t="n">
        <f aca="false">IFERROR(C39-B39,"")</f>
        <v>470</v>
      </c>
      <c r="L39" s="7" t="str">
        <f aca="false">IF(ISBLANK(F39), "MISSING", IF(F39&lt;3, "POOR", IF(F39&gt;4.5, "EXCELLENT", IF(AND(F39&gt;=3, F39&lt;=4), "AVERAGE", "UN-CATEGORISED"))))</f>
        <v>AVERAGE</v>
      </c>
      <c r="M39" s="7" t="str">
        <f aca="false">IF(L39="UN-CATEGORISED", "AVERAGE", L39)</f>
        <v>AVERAGE</v>
      </c>
    </row>
    <row r="40" customFormat="false" ht="13.2" hidden="false" customHeight="false" outlineLevel="0" collapsed="false">
      <c r="A40" s="7" t="str">
        <f aca="false">PROPER(TRIM(raw_data!A:A))</f>
        <v>1/2/3 Seater Elastic Sofa Cover,Living Room/Home Decor Chair Cover-Grey</v>
      </c>
      <c r="B40" s="8" t="n">
        <f aca="false">IFERROR(VALUE(TRIM(SUBSTITUTE(LOWER(raw_data!B18), "ksh", ""))), "")</f>
        <v>195</v>
      </c>
      <c r="C40" s="8" t="n">
        <f aca="false">IFERROR(VALUE(TRIM(SUBSTITUTE(LOWER(raw_data!C18), "ksh", ""))), "")</f>
        <v>360</v>
      </c>
      <c r="D40" s="21" t="n">
        <f aca="false">VALUE(TRIM(raw_data!D18))</f>
        <v>0.46</v>
      </c>
      <c r="E40" s="10" t="n">
        <f aca="false">IF(ISBLANK(raw_data!E18),"",ABS(TRIM(raw_data!E18)))</f>
        <v>2</v>
      </c>
      <c r="F40" s="11" t="n">
        <f aca="false">IF(ISBLANK(raw_data!F18),"",VALUE(LEFT(raw_data!F18,FIND(" ", raw_data!F18,1))))</f>
        <v>5</v>
      </c>
      <c r="G40" s="22" t="n">
        <f aca="false">IFERROR(ROUND(D40-((C40-B40)/C40),4), "")</f>
        <v>0.0017</v>
      </c>
      <c r="H40" s="2" t="str">
        <f aca="false">=IF(OR(D40="", C40=""), "",IF(C40 &lt; B40, "Check prices", "OK"))</f>
        <v>OK</v>
      </c>
      <c r="I40" s="7" t="str">
        <f aca="false">IF(F40="","",IF(OR(F40&lt;0,F40&gt;5),"EVALUATE","OK"))</f>
        <v>OK</v>
      </c>
      <c r="J40" s="23" t="str">
        <f aca="false">IF(D40="","",IF(OR(D40&lt;0,D40&gt;5),"EVALUATE","OK"))</f>
        <v>OK</v>
      </c>
      <c r="K40" s="8" t="n">
        <f aca="false">IFERROR(C40-B40,"")</f>
        <v>165</v>
      </c>
      <c r="L40" s="7" t="str">
        <f aca="false">IF(ISBLANK(F40), "MISSING", IF(F40&lt;3, "POOR", IF(F40&gt;4.5, "EXCELLENT", IF(AND(F40&gt;=3, F40&lt;=4), "AVERAGE", "UN-CATEGORISED"))))</f>
        <v>EXCELLENT</v>
      </c>
      <c r="M40" s="7" t="str">
        <f aca="false">IF(L40="UN-CATEGORISED", "AVERAGE", L40)</f>
        <v>EXCELLENT</v>
      </c>
    </row>
    <row r="41" customFormat="false" ht="13.2" hidden="false" customHeight="false" outlineLevel="0" collapsed="false">
      <c r="A41" s="7" t="str">
        <f aca="false">PROPER(TRIM(raw_data!A:A))</f>
        <v>Lasa Stainless Steel Double Wall Mount Soap Dispenser - 500Ml</v>
      </c>
      <c r="B41" s="8" t="n">
        <f aca="false">IFERROR(VALUE(TRIM(SUBSTITUTE(LOWER(raw_data!B7), "ksh", ""))), "")</f>
        <v>2999</v>
      </c>
      <c r="C41" s="8" t="n">
        <f aca="false">IFERROR(VALUE(TRIM(SUBSTITUTE(LOWER(raw_data!C7), "ksh", ""))), "")</f>
        <v>3290</v>
      </c>
      <c r="D41" s="21" t="n">
        <f aca="false">VALUE(TRIM(raw_data!D7))</f>
        <v>0.09</v>
      </c>
      <c r="E41" s="10" t="n">
        <f aca="false">IF(ISBLANK(raw_data!E7),"",ABS(TRIM(raw_data!E7)))</f>
        <v>15</v>
      </c>
      <c r="F41" s="11" t="n">
        <f aca="false">IF(ISBLANK(raw_data!F7),"",VALUE(LEFT(raw_data!F7,FIND(" ", raw_data!F7,1))))</f>
        <v>4</v>
      </c>
      <c r="G41" s="22" t="n">
        <f aca="false">IFERROR(ROUND(D41-((C41-B41)/C41),4), "")</f>
        <v>0.0016</v>
      </c>
      <c r="H41" s="2" t="str">
        <f aca="false">=IF(OR(D41="", C41=""), "",IF(C41 &lt; B41, "Check prices", "OK"))</f>
        <v>OK</v>
      </c>
      <c r="I41" s="7" t="str">
        <f aca="false">IF(F41="","",IF(OR(F41&lt;0,F41&gt;5),"EVALUATE","OK"))</f>
        <v>OK</v>
      </c>
      <c r="J41" s="23" t="str">
        <f aca="false">IF(D41="","",IF(OR(D41&lt;0,D41&gt;5),"EVALUATE","OK"))</f>
        <v>OK</v>
      </c>
      <c r="K41" s="8" t="n">
        <f aca="false">IFERROR(C41-B41,"")</f>
        <v>291</v>
      </c>
      <c r="L41" s="7" t="str">
        <f aca="false">IF(ISBLANK(F41), "MISSING", IF(F41&lt;3, "POOR", IF(F41&gt;4.5, "EXCELLENT", IF(AND(F41&gt;=3, F41&lt;=4), "AVERAGE", "UN-CATEGORISED"))))</f>
        <v>AVERAGE</v>
      </c>
      <c r="M41" s="7" t="str">
        <f aca="false">IF(L41="UN-CATEGORISED", "AVERAGE", L41)</f>
        <v>AVERAGE</v>
      </c>
    </row>
    <row r="42" customFormat="false" ht="13.2" hidden="false" customHeight="false" outlineLevel="0" collapsed="false">
      <c r="A42" s="7" t="str">
        <f aca="false">PROPER(TRIM(raw_data!A:A))</f>
        <v>4M Float Switch Water Level Controller -Water Tank</v>
      </c>
      <c r="B42" s="8" t="n">
        <f aca="false">IFERROR(VALUE(TRIM(SUBSTITUTE(LOWER(raw_data!B34), "ksh", ""))), "")</f>
        <v>1820</v>
      </c>
      <c r="C42" s="8" t="n">
        <f aca="false">IFERROR(VALUE(TRIM(SUBSTITUTE(LOWER(raw_data!C34), "ksh", ""))), "")</f>
        <v>3490</v>
      </c>
      <c r="D42" s="21" t="n">
        <f aca="false">VALUE(TRIM(raw_data!D34))</f>
        <v>0.48</v>
      </c>
      <c r="E42" s="10" t="n">
        <f aca="false">IF(ISBLANK(raw_data!E34),"",ABS(TRIM(raw_data!E34)))</f>
        <v>9</v>
      </c>
      <c r="F42" s="11" t="n">
        <f aca="false">IF(ISBLANK(raw_data!F34),"",VALUE(LEFT(raw_data!F34,FIND(" ", raw_data!F34,1))))</f>
        <v>4.3</v>
      </c>
      <c r="G42" s="22" t="n">
        <f aca="false">IFERROR(ROUND(D42-((C42-B42)/C42),4), "")</f>
        <v>0.0015</v>
      </c>
      <c r="H42" s="2" t="str">
        <f aca="false">=IF(OR(D42="", C42=""), "",IF(C42 &lt; B42, "Check prices", "OK"))</f>
        <v>OK</v>
      </c>
      <c r="I42" s="7" t="str">
        <f aca="false">IF(F42="","",IF(OR(F42&lt;0,F42&gt;5),"EVALUATE","OK"))</f>
        <v>OK</v>
      </c>
      <c r="J42" s="23" t="str">
        <f aca="false">IF(D42="","",IF(OR(D42&lt;0,D42&gt;5),"EVALUATE","OK"))</f>
        <v>OK</v>
      </c>
      <c r="K42" s="8" t="n">
        <f aca="false">IFERROR(C42-B42,"")</f>
        <v>1670</v>
      </c>
      <c r="L42" s="7" t="str">
        <f aca="false">IF(ISBLANK(F42), "MISSING", IF(F42&lt;3, "POOR", IF(F42&gt;4.5, "EXCELLENT", IF(AND(F42&gt;=3, F42&lt;=4), "AVERAGE", "UN-CATEGORISED"))))</f>
        <v>UN-CATEGORISED</v>
      </c>
      <c r="M42" s="7" t="str">
        <f aca="false">IF(L42="UN-CATEGORISED", "AVERAGE", L42)</f>
        <v>AVERAGE</v>
      </c>
    </row>
    <row r="43" customFormat="false" ht="13.2" hidden="false" customHeight="false" outlineLevel="0" collapsed="false">
      <c r="A43" s="7" t="str">
        <f aca="false">PROPER(TRIM(raw_data!A:A))</f>
        <v>Modern Sofa Throw Pillow Cover-45X45Cm-Blue&amp;Red</v>
      </c>
      <c r="B43" s="8" t="n">
        <f aca="false">IFERROR(VALUE(TRIM(SUBSTITUTE(LOWER(raw_data!B109), "ksh", ""))), "")</f>
        <v>198</v>
      </c>
      <c r="C43" s="8" t="n">
        <f aca="false">IFERROR(VALUE(TRIM(SUBSTITUTE(LOWER(raw_data!C109), "ksh", ""))), "")</f>
        <v>260</v>
      </c>
      <c r="D43" s="21" t="n">
        <f aca="false">VALUE(TRIM(raw_data!D109))</f>
        <v>0.24</v>
      </c>
      <c r="E43" s="10" t="str">
        <f aca="false">IF(ISBLANK(raw_data!E109),"",ABS(TRIM(raw_data!E109)))</f>
        <v/>
      </c>
      <c r="F43" s="11" t="str">
        <f aca="false">IF(ISBLANK(raw_data!F109),"",VALUE(LEFT(raw_data!F109,FIND(" ", raw_data!F109,1))))</f>
        <v/>
      </c>
      <c r="G43" s="22" t="n">
        <f aca="false">IFERROR(ROUND(D43-((C43-B43)/C43),4), "")</f>
        <v>0.0015</v>
      </c>
      <c r="H43" s="2" t="str">
        <f aca="false">=IF(OR(D43="", C43=""), "",IF(C43 &lt; B43, "Check prices", "OK"))</f>
        <v>OK</v>
      </c>
      <c r="I43" s="7" t="str">
        <f aca="false">IF(F43="","",IF(OR(F43&lt;0,F43&gt;5),"EVALUATE","OK"))</f>
        <v/>
      </c>
      <c r="J43" s="23" t="str">
        <f aca="false">IF(D43="","",IF(OR(D43&lt;0,D43&gt;5),"EVALUATE","OK"))</f>
        <v>OK</v>
      </c>
      <c r="K43" s="8" t="n">
        <f aca="false">IFERROR(C43-B43,"")</f>
        <v>62</v>
      </c>
      <c r="L43" s="7" t="str">
        <f aca="false">IF(ISBLANK(F43), "MISSING", IF(F43&lt;3, "POOR", IF(F43&gt;4.5, "EXCELLENT", IF(AND(F43&gt;=3, F43&lt;=4), "AVERAGE", "UN-CATEGORISED"))))</f>
        <v>EXCELLENT</v>
      </c>
      <c r="M43" s="7" t="str">
        <f aca="false">IF(L43="UN-CATEGORISED", "AVERAGE", L43)</f>
        <v>EXCELLENT</v>
      </c>
    </row>
    <row r="44" customFormat="false" ht="13.2" hidden="false" customHeight="false" outlineLevel="0" collapsed="false">
      <c r="A44" s="7" t="str">
        <f aca="false">PROPER(TRIM(raw_data!A:A))</f>
        <v>Balloon Insert, Birthday Party Balloon Set, Pu Leather</v>
      </c>
      <c r="B44" s="8" t="n">
        <f aca="false">IFERROR(VALUE(TRIM(SUBSTITUTE(LOWER(raw_data!B80), "ksh", ""))), "")</f>
        <v>230</v>
      </c>
      <c r="C44" s="8" t="n">
        <f aca="false">IFERROR(VALUE(TRIM(SUBSTITUTE(LOWER(raw_data!C80), "ksh", ""))), "")</f>
        <v>450</v>
      </c>
      <c r="D44" s="21" t="n">
        <f aca="false">VALUE(TRIM(raw_data!D80))</f>
        <v>0.49</v>
      </c>
      <c r="E44" s="10" t="str">
        <f aca="false">IF(ISBLANK(raw_data!E80),"",ABS(TRIM(raw_data!E80)))</f>
        <v/>
      </c>
      <c r="F44" s="11" t="str">
        <f aca="false">IF(ISBLANK(raw_data!F80),"",VALUE(LEFT(raw_data!F80,FIND(" ", raw_data!F80,1))))</f>
        <v/>
      </c>
      <c r="G44" s="22" t="n">
        <f aca="false">IFERROR(ROUND(D44-((C44-B44)/C44),4), "")</f>
        <v>0.0011</v>
      </c>
      <c r="H44" s="2" t="str">
        <f aca="false">=IF(OR(D44="", C44=""), "",IF(C44 &lt; B44, "Check prices", "OK"))</f>
        <v>OK</v>
      </c>
      <c r="I44" s="7" t="str">
        <f aca="false">IF(F44="","",IF(OR(F44&lt;0,F44&gt;5),"EVALUATE","OK"))</f>
        <v/>
      </c>
      <c r="J44" s="23" t="str">
        <f aca="false">IF(D44="","",IF(OR(D44&lt;0,D44&gt;5),"EVALUATE","OK"))</f>
        <v>OK</v>
      </c>
      <c r="K44" s="8" t="n">
        <f aca="false">IFERROR(C44-B44,"")</f>
        <v>220</v>
      </c>
      <c r="L44" s="7" t="str">
        <f aca="false">IF(ISBLANK(F44), "MISSING", IF(F44&lt;3, "POOR", IF(F44&gt;4.5, "EXCELLENT", IF(AND(F44&gt;=3, F44&lt;=4), "AVERAGE", "UN-CATEGORISED"))))</f>
        <v>EXCELLENT</v>
      </c>
      <c r="M44" s="7" t="str">
        <f aca="false">IF(L44="UN-CATEGORISED", "AVERAGE", L44)</f>
        <v>EXCELLENT</v>
      </c>
    </row>
    <row r="45" customFormat="false" ht="13.2" hidden="false" customHeight="false" outlineLevel="0" collapsed="false">
      <c r="A45" s="7" t="str">
        <f aca="false">PROPER(TRIM(raw_data!A:A))</f>
        <v>Balloon Insert, Birthday Party Balloon Set, Pu Leather</v>
      </c>
      <c r="B45" s="8" t="n">
        <f aca="false">IFERROR(VALUE(TRIM(SUBSTITUTE(LOWER(raw_data!B20), "ksh", ""))), "")</f>
        <v>2999</v>
      </c>
      <c r="C45" s="8" t="n">
        <f aca="false">IFERROR(VALUE(TRIM(SUBSTITUTE(LOWER(raw_data!C20), "ksh", ""))), "")</f>
        <v>3699</v>
      </c>
      <c r="D45" s="21" t="n">
        <f aca="false">VALUE(TRIM(raw_data!D20))</f>
        <v>0.19</v>
      </c>
      <c r="E45" s="10" t="n">
        <f aca="false">IF(ISBLANK(raw_data!E20),"",ABS(TRIM(raw_data!E20)))</f>
        <v>5</v>
      </c>
      <c r="F45" s="11" t="n">
        <f aca="false">IF(ISBLANK(raw_data!F20),"",VALUE(LEFT(raw_data!F20,FIND(" ", raw_data!F20,1))))</f>
        <v>4.6</v>
      </c>
      <c r="G45" s="22" t="n">
        <f aca="false">IFERROR(ROUND(D45-((C45-B45)/C45),4), "")</f>
        <v>0.0008</v>
      </c>
      <c r="H45" s="2" t="str">
        <f aca="false">=IF(OR(D45="", C45=""), "",IF(C45 &lt; B45, "Check prices", "OK"))</f>
        <v>OK</v>
      </c>
      <c r="I45" s="7" t="str">
        <f aca="false">IF(F45="","",IF(OR(F45&lt;0,F45&gt;5),"EVALUATE","OK"))</f>
        <v>OK</v>
      </c>
      <c r="J45" s="23" t="str">
        <f aca="false">IF(D45="","",IF(OR(D45&lt;0,D45&gt;5),"EVALUATE","OK"))</f>
        <v>OK</v>
      </c>
      <c r="K45" s="8" t="n">
        <f aca="false">IFERROR(C45-B45,"")</f>
        <v>700</v>
      </c>
      <c r="L45" s="7" t="str">
        <f aca="false">IF(ISBLANK(F45), "MISSING", IF(F45&lt;3, "POOR", IF(F45&gt;4.5, "EXCELLENT", IF(AND(F45&gt;=3, F45&lt;=4), "AVERAGE", "UN-CATEGORISED"))))</f>
        <v>EXCELLENT</v>
      </c>
      <c r="M45" s="7" t="str">
        <f aca="false">IF(L45="UN-CATEGORISED", "AVERAGE", L45)</f>
        <v>EXCELLENT</v>
      </c>
    </row>
    <row r="46" customFormat="false" ht="13.2" hidden="false" customHeight="false" outlineLevel="0" collapsed="false">
      <c r="A46" s="7" t="str">
        <f aca="false">PROPER(TRIM(raw_data!A:A))</f>
        <v>Shower Cap Wide Elastic Band Cover Reusable Bashroom Cap</v>
      </c>
      <c r="B46" s="8" t="n">
        <f aca="false">IFERROR(VALUE(TRIM(SUBSTITUTE(LOWER(raw_data!B81), "ksh", ""))), "")</f>
        <v>1189</v>
      </c>
      <c r="C46" s="8" t="n">
        <f aca="false">IFERROR(VALUE(TRIM(SUBSTITUTE(LOWER(raw_data!C81), "ksh", ""))), "")</f>
        <v>2199</v>
      </c>
      <c r="D46" s="21" t="n">
        <f aca="false">VALUE(TRIM(raw_data!D81))</f>
        <v>0.46</v>
      </c>
      <c r="E46" s="10" t="n">
        <f aca="false">IF(ISBLANK(raw_data!E81),"",ABS(TRIM(raw_data!E81)))</f>
        <v>1</v>
      </c>
      <c r="F46" s="11" t="n">
        <f aca="false">IF(ISBLANK(raw_data!F81),"",VALUE(LEFT(raw_data!F81,FIND(" ", raw_data!F81,1))))</f>
        <v>3</v>
      </c>
      <c r="G46" s="22" t="n">
        <f aca="false">IFERROR(ROUND(D46-((C46-B46)/C46),4), "")</f>
        <v>0.0007</v>
      </c>
      <c r="H46" s="2" t="str">
        <f aca="false">=IF(OR(D46="", C46=""), "",IF(C46 &lt; B46, "Check prices", "OK"))</f>
        <v>OK</v>
      </c>
      <c r="I46" s="7" t="str">
        <f aca="false">IF(F46="","",IF(OR(F46&lt;0,F46&gt;5),"EVALUATE","OK"))</f>
        <v>OK</v>
      </c>
      <c r="J46" s="23" t="str">
        <f aca="false">IF(D46="","",IF(OR(D46&lt;0,D46&gt;5),"EVALUATE","OK"))</f>
        <v>OK</v>
      </c>
      <c r="K46" s="8" t="n">
        <f aca="false">IFERROR(C46-B46,"")</f>
        <v>1010</v>
      </c>
      <c r="L46" s="7" t="str">
        <f aca="false">IF(ISBLANK(F46), "MISSING", IF(F46&lt;3, "POOR", IF(F46&gt;4.5, "EXCELLENT", IF(AND(F46&gt;=3, F46&lt;=4), "AVERAGE", "UN-CATEGORISED"))))</f>
        <v>AVERAGE</v>
      </c>
      <c r="M46" s="7" t="str">
        <f aca="false">IF(L46="UN-CATEGORISED", "AVERAGE", L46)</f>
        <v>AVERAGE</v>
      </c>
    </row>
    <row r="47" customFormat="false" ht="13.2" hidden="false" customHeight="false" outlineLevel="0" collapsed="false">
      <c r="A47" s="7" t="str">
        <f aca="false">PROPER(TRIM(raw_data!A:A))</f>
        <v>Christmas Elk Fence Yard Lawn Decorations Cute For Holidays</v>
      </c>
      <c r="B47" s="8" t="n">
        <f aca="false">IFERROR(VALUE(TRIM(SUBSTITUTE(LOWER(raw_data!B84), "ksh", ""))), "")</f>
        <v>1666</v>
      </c>
      <c r="C47" s="8" t="n">
        <f aca="false">IFERROR(VALUE(TRIM(SUBSTITUTE(LOWER(raw_data!C84), "ksh", ""))), "")</f>
        <v>1699</v>
      </c>
      <c r="D47" s="21" t="n">
        <f aca="false">VALUE(TRIM(raw_data!D84))</f>
        <v>0.02</v>
      </c>
      <c r="E47" s="10" t="str">
        <f aca="false">IF(ISBLANK(raw_data!E84),"",ABS(TRIM(raw_data!E84)))</f>
        <v/>
      </c>
      <c r="F47" s="11" t="str">
        <f aca="false">IF(ISBLANK(raw_data!F84),"",VALUE(LEFT(raw_data!F84,FIND(" ", raw_data!F84,1))))</f>
        <v/>
      </c>
      <c r="G47" s="22" t="n">
        <f aca="false">IFERROR(ROUND(D47-((C47-B47)/C47),4), "")</f>
        <v>0.0006</v>
      </c>
      <c r="H47" s="2" t="str">
        <f aca="false">=IF(OR(D47="", C47=""), "",IF(C47 &lt; B47, "Check prices", "OK"))</f>
        <v>OK</v>
      </c>
      <c r="I47" s="7" t="str">
        <f aca="false">IF(F47="","",IF(OR(F47&lt;0,F47&gt;5),"EVALUATE","OK"))</f>
        <v/>
      </c>
      <c r="J47" s="23" t="str">
        <f aca="false">IF(D47="","",IF(OR(D47&lt;0,D47&gt;5),"EVALUATE","OK"))</f>
        <v>OK</v>
      </c>
      <c r="K47" s="8" t="n">
        <f aca="false">IFERROR(C47-B47,"")</f>
        <v>33</v>
      </c>
      <c r="L47" s="7" t="str">
        <f aca="false">IF(ISBLANK(F47), "MISSING", IF(F47&lt;3, "POOR", IF(F47&gt;4.5, "EXCELLENT", IF(AND(F47&gt;=3, F47&lt;=4), "AVERAGE", "UN-CATEGORISED"))))</f>
        <v>EXCELLENT</v>
      </c>
      <c r="M47" s="7" t="str">
        <f aca="false">IF(L47="UN-CATEGORISED", "AVERAGE", L47)</f>
        <v>EXCELLENT</v>
      </c>
    </row>
    <row r="48" customFormat="false" ht="13.2" hidden="false" customHeight="false" outlineLevel="0" collapsed="false">
      <c r="A48" s="7" t="str">
        <f aca="false">PROPER(TRIM(raw_data!A:A))</f>
        <v>60W Hot Melt Glue Sprayer - Efficient And Stable Glue Dispensing</v>
      </c>
      <c r="B48" s="8" t="n">
        <f aca="false">IFERROR(VALUE(TRIM(SUBSTITUTE(LOWER(raw_data!B58), "ksh", ""))), "")</f>
        <v>699</v>
      </c>
      <c r="C48" s="8" t="n">
        <f aca="false">IFERROR(VALUE(TRIM(SUBSTITUTE(LOWER(raw_data!C58), "ksh", ""))), "")</f>
        <v>1343</v>
      </c>
      <c r="D48" s="21" t="n">
        <f aca="false">VALUE(TRIM(raw_data!D58))</f>
        <v>0.48</v>
      </c>
      <c r="E48" s="10" t="str">
        <f aca="false">IF(ISBLANK(raw_data!E58),"",ABS(TRIM(raw_data!E58)))</f>
        <v/>
      </c>
      <c r="F48" s="11" t="str">
        <f aca="false">IF(ISBLANK(raw_data!F58),"",VALUE(LEFT(raw_data!F58,FIND(" ", raw_data!F58,1))))</f>
        <v/>
      </c>
      <c r="G48" s="22" t="n">
        <f aca="false">IFERROR(ROUND(D48-((C48-B48)/C48),4), "")</f>
        <v>0.0005</v>
      </c>
      <c r="H48" s="2" t="str">
        <f aca="false">=IF(OR(D48="", C48=""), "",IF(C48 &lt; B48, "Check prices", "OK"))</f>
        <v>OK</v>
      </c>
      <c r="I48" s="7" t="str">
        <f aca="false">IF(F48="","",IF(OR(F48&lt;0,F48&gt;5),"EVALUATE","OK"))</f>
        <v/>
      </c>
      <c r="J48" s="23" t="str">
        <f aca="false">IF(D48="","",IF(OR(D48&lt;0,D48&gt;5),"EVALUATE","OK"))</f>
        <v>OK</v>
      </c>
      <c r="K48" s="8" t="n">
        <f aca="false">IFERROR(C48-B48,"")</f>
        <v>644</v>
      </c>
      <c r="L48" s="7" t="str">
        <f aca="false">IF(ISBLANK(F48), "MISSING", IF(F48&lt;3, "POOR", IF(F48&gt;4.5, "EXCELLENT", IF(AND(F48&gt;=3, F48&lt;=4), "AVERAGE", "UN-CATEGORISED"))))</f>
        <v>EXCELLENT</v>
      </c>
      <c r="M48" s="7" t="str">
        <f aca="false">IF(L48="UN-CATEGORISED", "AVERAGE", L48)</f>
        <v>EXCELLENT</v>
      </c>
    </row>
    <row r="49" customFormat="false" ht="13.2" hidden="false" customHeight="false" outlineLevel="0" collapsed="false">
      <c r="A49" s="7" t="str">
        <f aca="false">PROPER(TRIM(raw_data!A:A))</f>
        <v>Car Phone Charging Stand</v>
      </c>
      <c r="B49" s="8" t="n">
        <f aca="false">IFERROR(VALUE(TRIM(SUBSTITUTE(LOWER(raw_data!B70), "ksh", ""))), "")</f>
        <v>3750</v>
      </c>
      <c r="C49" s="8" t="n">
        <f aca="false">IFERROR(VALUE(TRIM(SUBSTITUTE(LOWER(raw_data!C70), "ksh", ""))), "")</f>
        <v>6143</v>
      </c>
      <c r="D49" s="21" t="n">
        <f aca="false">VALUE(TRIM(raw_data!D70))</f>
        <v>0.39</v>
      </c>
      <c r="E49" s="10" t="n">
        <f aca="false">IF(ISBLANK(raw_data!E70),"",ABS(TRIM(raw_data!E70)))</f>
        <v>5</v>
      </c>
      <c r="F49" s="11" t="n">
        <f aca="false">IF(ISBLANK(raw_data!F70),"",VALUE(LEFT(raw_data!F70,FIND(" ", raw_data!F70,1))))</f>
        <v>3</v>
      </c>
      <c r="G49" s="22" t="n">
        <f aca="false">IFERROR(ROUND(D49-((C49-B49)/C49),4), "")</f>
        <v>0.0005</v>
      </c>
      <c r="H49" s="2" t="str">
        <f aca="false">=IF(OR(D49="", C49=""), "",IF(C49 &lt; B49, "Check prices", "OK"))</f>
        <v>OK</v>
      </c>
      <c r="I49" s="7" t="str">
        <f aca="false">IF(F49="","",IF(OR(F49&lt;0,F49&gt;5),"EVALUATE","OK"))</f>
        <v>OK</v>
      </c>
      <c r="J49" s="23" t="str">
        <f aca="false">IF(D49="","",IF(OR(D49&lt;0,D49&gt;5),"EVALUATE","OK"))</f>
        <v>OK</v>
      </c>
      <c r="K49" s="8" t="n">
        <f aca="false">IFERROR(C49-B49,"")</f>
        <v>2393</v>
      </c>
      <c r="L49" s="7" t="str">
        <f aca="false">IF(ISBLANK(F49), "MISSING", IF(F49&lt;3, "POOR", IF(F49&gt;4.5, "EXCELLENT", IF(AND(F49&gt;=3, F49&lt;=4), "AVERAGE", "UN-CATEGORISED"))))</f>
        <v>AVERAGE</v>
      </c>
      <c r="M49" s="7" t="str">
        <f aca="false">IF(L49="UN-CATEGORISED", "AVERAGE", L49)</f>
        <v>AVERAGE</v>
      </c>
    </row>
    <row r="50" customFormat="false" ht="13.2" hidden="false" customHeight="false" outlineLevel="0" collapsed="false">
      <c r="A50" s="7" t="str">
        <f aca="false">PROPER(TRIM(raw_data!A:A))</f>
        <v>2Pcs Solar Street Light Flood Light Outdoor</v>
      </c>
      <c r="B50" s="8" t="n">
        <f aca="false">IFERROR(VALUE(TRIM(SUBSTITUTE(LOWER(raw_data!B102), "ksh", ""))), "")</f>
        <v>248</v>
      </c>
      <c r="C50" s="8" t="n">
        <f aca="false">IFERROR(VALUE(TRIM(SUBSTITUTE(LOWER(raw_data!C102), "ksh", ""))), "")</f>
        <v>486</v>
      </c>
      <c r="D50" s="21" t="n">
        <f aca="false">VALUE(TRIM(raw_data!D102))</f>
        <v>0.49</v>
      </c>
      <c r="E50" s="10" t="str">
        <f aca="false">IF(ISBLANK(raw_data!E102),"",ABS(TRIM(raw_data!E102)))</f>
        <v/>
      </c>
      <c r="F50" s="11" t="str">
        <f aca="false">IF(ISBLANK(raw_data!F102),"",VALUE(LEFT(raw_data!F102,FIND(" ", raw_data!F102,1))))</f>
        <v/>
      </c>
      <c r="G50" s="22" t="n">
        <f aca="false">IFERROR(ROUND(D50-((C50-B50)/C50),4), "")</f>
        <v>0.0003</v>
      </c>
      <c r="H50" s="2" t="str">
        <f aca="false">=IF(OR(D50="", C50=""), "",IF(C50 &lt; B50, "Check prices", "OK"))</f>
        <v>OK</v>
      </c>
      <c r="I50" s="7" t="str">
        <f aca="false">IF(F50="","",IF(OR(F50&lt;0,F50&gt;5),"EVALUATE","OK"))</f>
        <v/>
      </c>
      <c r="J50" s="23" t="str">
        <f aca="false">IF(D50="","",IF(OR(D50&lt;0,D50&gt;5),"EVALUATE","OK"))</f>
        <v>OK</v>
      </c>
      <c r="K50" s="8" t="n">
        <f aca="false">IFERROR(C50-B50,"")</f>
        <v>238</v>
      </c>
      <c r="L50" s="7" t="str">
        <f aca="false">IF(ISBLANK(F50), "MISSING", IF(F50&lt;3, "POOR", IF(F50&gt;4.5, "EXCELLENT", IF(AND(F50&gt;=3, F50&lt;=4), "AVERAGE", "UN-CATEGORISED"))))</f>
        <v>EXCELLENT</v>
      </c>
      <c r="M50" s="7" t="str">
        <f aca="false">IF(L50="UN-CATEGORISED", "AVERAGE", L50)</f>
        <v>EXCELLENT</v>
      </c>
    </row>
    <row r="51" customFormat="false" ht="13.2" hidden="false" customHeight="false" outlineLevel="0" collapsed="false">
      <c r="A51" s="7" t="str">
        <f aca="false">PROPER(TRIM(raw_data!A:A))</f>
        <v>Creative Owl Shape Keychain Black</v>
      </c>
      <c r="B51" s="8" t="n">
        <f aca="false">IFERROR(VALUE(TRIM(SUBSTITUTE(LOWER(raw_data!B42), "ksh", ""))), "")</f>
        <v>475</v>
      </c>
      <c r="C51" s="8" t="n">
        <f aca="false">IFERROR(VALUE(TRIM(SUBSTITUTE(LOWER(raw_data!C42), "ksh", ""))), "")</f>
        <v>931</v>
      </c>
      <c r="D51" s="21" t="n">
        <f aca="false">VALUE(TRIM(raw_data!D42))</f>
        <v>0.49</v>
      </c>
      <c r="E51" s="10" t="str">
        <f aca="false">IF(ISBLANK(raw_data!E42),"",ABS(TRIM(raw_data!E42)))</f>
        <v/>
      </c>
      <c r="F51" s="11" t="str">
        <f aca="false">IF(ISBLANK(raw_data!F42),"",VALUE(LEFT(raw_data!F42,FIND(" ", raw_data!F42,1))))</f>
        <v/>
      </c>
      <c r="G51" s="22" t="n">
        <f aca="false">IFERROR(ROUND(D51-((C51-B51)/C51),4), "")</f>
        <v>0.0002</v>
      </c>
      <c r="H51" s="2" t="str">
        <f aca="false">=IF(OR(D51="", C51=""), "",IF(C51 &lt; B51, "Check prices", "OK"))</f>
        <v>OK</v>
      </c>
      <c r="I51" s="7" t="str">
        <f aca="false">IF(F51="","",IF(OR(F51&lt;0,F51&gt;5),"EVALUATE","OK"))</f>
        <v/>
      </c>
      <c r="J51" s="23" t="str">
        <f aca="false">IF(D51="","",IF(OR(D51&lt;0,D51&gt;5),"EVALUATE","OK"))</f>
        <v>OK</v>
      </c>
      <c r="K51" s="8" t="n">
        <f aca="false">IFERROR(C51-B51,"")</f>
        <v>456</v>
      </c>
      <c r="L51" s="7" t="str">
        <f aca="false">IF(ISBLANK(F51), "MISSING", IF(F51&lt;3, "POOR", IF(F51&gt;4.5, "EXCELLENT", IF(AND(F51&gt;=3, F51&lt;=4), "AVERAGE", "UN-CATEGORISED"))))</f>
        <v>EXCELLENT</v>
      </c>
      <c r="M51" s="7" t="str">
        <f aca="false">IF(L51="UN-CATEGORISED", "AVERAGE", L51)</f>
        <v>EXCELLENT</v>
      </c>
    </row>
    <row r="52" customFormat="false" ht="13.2" hidden="false" customHeight="false" outlineLevel="0" collapsed="false">
      <c r="A52" s="7" t="str">
        <f aca="false">PROPER(TRIM(raw_data!A:A))</f>
        <v>Brush &amp; Paintbrush Cleaning Tool Pink</v>
      </c>
      <c r="B52" s="8" t="n">
        <f aca="false">IFERROR(VALUE(TRIM(SUBSTITUTE(LOWER(raw_data!B89), "ksh", ""))), "")</f>
        <v>274</v>
      </c>
      <c r="C52" s="8" t="n">
        <f aca="false">IFERROR(VALUE(TRIM(SUBSTITUTE(LOWER(raw_data!C89), "ksh", ""))), "")</f>
        <v>537</v>
      </c>
      <c r="D52" s="21" t="n">
        <f aca="false">VALUE(TRIM(raw_data!D89))</f>
        <v>0.49</v>
      </c>
      <c r="E52" s="10" t="str">
        <f aca="false">IF(ISBLANK(raw_data!E89),"",ABS(TRIM(raw_data!E89)))</f>
        <v/>
      </c>
      <c r="F52" s="11" t="str">
        <f aca="false">IF(ISBLANK(raw_data!F89),"",VALUE(LEFT(raw_data!F89,FIND(" ", raw_data!F89,1))))</f>
        <v/>
      </c>
      <c r="G52" s="22" t="n">
        <f aca="false">IFERROR(ROUND(D52-((C52-B52)/C52),4), "")</f>
        <v>0.0002</v>
      </c>
      <c r="H52" s="2" t="str">
        <f aca="false">=IF(OR(D52="", C52=""), "",IF(C52 &lt; B52, "Check prices", "OK"))</f>
        <v>OK</v>
      </c>
      <c r="I52" s="7" t="str">
        <f aca="false">IF(F52="","",IF(OR(F52&lt;0,F52&gt;5),"EVALUATE","OK"))</f>
        <v/>
      </c>
      <c r="J52" s="23" t="str">
        <f aca="false">IF(D52="","",IF(OR(D52&lt;0,D52&gt;5),"EVALUATE","OK"))</f>
        <v>OK</v>
      </c>
      <c r="K52" s="8" t="n">
        <f aca="false">IFERROR(C52-B52,"")</f>
        <v>263</v>
      </c>
      <c r="L52" s="7" t="str">
        <f aca="false">IF(ISBLANK(F52), "MISSING", IF(F52&lt;3, "POOR", IF(F52&gt;4.5, "EXCELLENT", IF(AND(F52&gt;=3, F52&lt;=4), "AVERAGE", "UN-CATEGORISED"))))</f>
        <v>EXCELLENT</v>
      </c>
      <c r="M52" s="7" t="str">
        <f aca="false">IF(L52="UN-CATEGORISED", "AVERAGE", L52)</f>
        <v>EXCELLENT</v>
      </c>
    </row>
    <row r="53" customFormat="false" ht="13.2" hidden="false" customHeight="false" outlineLevel="0" collapsed="false">
      <c r="A53" s="7" t="str">
        <f aca="false">PROPER(TRIM(raw_data!A:A))</f>
        <v>Pen Grips For Kids Pen Grip Posture Correction Tool For Kids</v>
      </c>
      <c r="B53" s="8" t="n">
        <f aca="false">IFERROR(VALUE(TRIM(SUBSTITUTE(LOWER(raw_data!B104), "ksh", ""))), "")</f>
        <v>525</v>
      </c>
      <c r="C53" s="8" t="n">
        <f aca="false">IFERROR(VALUE(TRIM(SUBSTITUTE(LOWER(raw_data!C104), "ksh", ""))), "")</f>
        <v>1029</v>
      </c>
      <c r="D53" s="21" t="n">
        <f aca="false">VALUE(TRIM(raw_data!D104))</f>
        <v>0.49</v>
      </c>
      <c r="E53" s="10" t="str">
        <f aca="false">IF(ISBLANK(raw_data!E104),"",ABS(TRIM(raw_data!E104)))</f>
        <v/>
      </c>
      <c r="F53" s="11" t="str">
        <f aca="false">IF(ISBLANK(raw_data!F104),"",VALUE(LEFT(raw_data!F104,FIND(" ", raw_data!F104,1))))</f>
        <v/>
      </c>
      <c r="G53" s="22" t="n">
        <f aca="false">IFERROR(ROUND(D53-((C53-B53)/C53),4), "")</f>
        <v>0.0002</v>
      </c>
      <c r="H53" s="2" t="str">
        <f aca="false">=IF(OR(D53="", C53=""), "",IF(C53 &lt; B53, "Check prices", "OK"))</f>
        <v>OK</v>
      </c>
      <c r="I53" s="7" t="str">
        <f aca="false">IF(F53="","",IF(OR(F53&lt;0,F53&gt;5),"EVALUATE","OK"))</f>
        <v/>
      </c>
      <c r="J53" s="23" t="str">
        <f aca="false">IF(D53="","",IF(OR(D53&lt;0,D53&gt;5),"EVALUATE","OK"))</f>
        <v>OK</v>
      </c>
      <c r="K53" s="8" t="n">
        <f aca="false">IFERROR(C53-B53,"")</f>
        <v>504</v>
      </c>
      <c r="L53" s="7" t="str">
        <f aca="false">IF(ISBLANK(F53), "MISSING", IF(F53&lt;3, "POOR", IF(F53&gt;4.5, "EXCELLENT", IF(AND(F53&gt;=3, F53&lt;=4), "AVERAGE", "UN-CATEGORISED"))))</f>
        <v>EXCELLENT</v>
      </c>
      <c r="M53" s="7" t="str">
        <f aca="false">IF(L53="UN-CATEGORISED", "AVERAGE", L53)</f>
        <v>EXCELLENT</v>
      </c>
    </row>
    <row r="54" customFormat="false" ht="13.2" hidden="false" customHeight="false" outlineLevel="0" collapsed="false">
      <c r="A54" s="7" t="str">
        <f aca="false">PROPER(TRIM(raw_data!A:A))</f>
        <v>Pilates Cloth Bag Waterproof Durable High Capacity Purple</v>
      </c>
      <c r="B54" s="8" t="n">
        <f aca="false">IFERROR(VALUE(TRIM(SUBSTITUTE(LOWER(raw_data!B87), "ksh", ""))), "")</f>
        <v>176</v>
      </c>
      <c r="C54" s="8" t="n">
        <f aca="false">IFERROR(VALUE(TRIM(SUBSTITUTE(LOWER(raw_data!C87), "ksh", ""))), "")</f>
        <v>345</v>
      </c>
      <c r="D54" s="21" t="n">
        <f aca="false">VALUE(TRIM(raw_data!D87))</f>
        <v>0.49</v>
      </c>
      <c r="E54" s="10" t="str">
        <f aca="false">IF(ISBLANK(raw_data!E87),"",ABS(TRIM(raw_data!E87)))</f>
        <v/>
      </c>
      <c r="F54" s="11" t="str">
        <f aca="false">IF(ISBLANK(raw_data!F87),"",VALUE(LEFT(raw_data!F87,FIND(" ", raw_data!F87,1))))</f>
        <v/>
      </c>
      <c r="G54" s="22" t="n">
        <f aca="false">IFERROR(ROUND(D54-((C54-B54)/C54),4), "")</f>
        <v>0.0001</v>
      </c>
      <c r="H54" s="2" t="str">
        <f aca="false">=IF(OR(D54="", C54=""), "",IF(C54 &lt; B54, "Check prices", "OK"))</f>
        <v>OK</v>
      </c>
      <c r="I54" s="7" t="str">
        <f aca="false">IF(F54="","",IF(OR(F54&lt;0,F54&gt;5),"EVALUATE","OK"))</f>
        <v/>
      </c>
      <c r="J54" s="23" t="str">
        <f aca="false">IF(D54="","",IF(OR(D54&lt;0,D54&gt;5),"EVALUATE","OK"))</f>
        <v>OK</v>
      </c>
      <c r="K54" s="8" t="n">
        <f aca="false">IFERROR(C54-B54,"")</f>
        <v>169</v>
      </c>
      <c r="L54" s="7" t="str">
        <f aca="false">IF(ISBLANK(F54), "MISSING", IF(F54&lt;3, "POOR", IF(F54&gt;4.5, "EXCELLENT", IF(AND(F54&gt;=3, F54&lt;=4), "AVERAGE", "UN-CATEGORISED"))))</f>
        <v>EXCELLENT</v>
      </c>
      <c r="M54" s="7" t="str">
        <f aca="false">IF(L54="UN-CATEGORISED", "AVERAGE", L54)</f>
        <v>EXCELLENT</v>
      </c>
    </row>
    <row r="55" customFormat="false" ht="13.2" hidden="false" customHeight="false" outlineLevel="0" collapsed="false">
      <c r="A55" s="7" t="str">
        <f aca="false">PROPER(TRIM(raw_data!A:A))</f>
        <v>Multi-Purpose Rice Drainage Basket And Fruit And Vegetable Drainage Sieve</v>
      </c>
      <c r="B55" s="8" t="n">
        <f aca="false">IFERROR(VALUE(TRIM(SUBSTITUTE(LOWER(raw_data!B91), "ksh", ""))), "")</f>
        <v>657</v>
      </c>
      <c r="C55" s="8" t="n">
        <f aca="false">IFERROR(VALUE(TRIM(SUBSTITUTE(LOWER(raw_data!C91), "ksh", ""))), "")</f>
        <v>1288</v>
      </c>
      <c r="D55" s="21" t="n">
        <f aca="false">VALUE(TRIM(raw_data!D91))</f>
        <v>0.49</v>
      </c>
      <c r="E55" s="10" t="str">
        <f aca="false">IF(ISBLANK(raw_data!E91),"",ABS(TRIM(raw_data!E91)))</f>
        <v/>
      </c>
      <c r="F55" s="11" t="str">
        <f aca="false">IF(ISBLANK(raw_data!F91),"",VALUE(LEFT(raw_data!F91,FIND(" ", raw_data!F91,1))))</f>
        <v/>
      </c>
      <c r="G55" s="22" t="n">
        <f aca="false">IFERROR(ROUND(D55-((C55-B55)/C55),4), "")</f>
        <v>0.0001</v>
      </c>
      <c r="H55" s="2" t="str">
        <f aca="false">=IF(OR(D55="", C55=""), "",IF(C55 &lt; B55, "Check prices", "OK"))</f>
        <v>OK</v>
      </c>
      <c r="I55" s="7" t="str">
        <f aca="false">IF(F55="","",IF(OR(F55&lt;0,F55&gt;5),"EVALUATE","OK"))</f>
        <v/>
      </c>
      <c r="J55" s="23" t="str">
        <f aca="false">IF(D55="","",IF(OR(D55&lt;0,D55&gt;5),"EVALUATE","OK"))</f>
        <v>OK</v>
      </c>
      <c r="K55" s="8" t="n">
        <f aca="false">IFERROR(C55-B55,"")</f>
        <v>631</v>
      </c>
      <c r="L55" s="7" t="str">
        <f aca="false">IF(ISBLANK(F55), "MISSING", IF(F55&lt;3, "POOR", IF(F55&gt;4.5, "EXCELLENT", IF(AND(F55&gt;=3, F55&lt;=4), "AVERAGE", "UN-CATEGORISED"))))</f>
        <v>EXCELLENT</v>
      </c>
      <c r="M55" s="7" t="str">
        <f aca="false">IF(L55="UN-CATEGORISED", "AVERAGE", L55)</f>
        <v>EXCELLENT</v>
      </c>
    </row>
    <row r="56" customFormat="false" ht="13.2" hidden="false" customHeight="false" outlineLevel="0" collapsed="false">
      <c r="A56" s="7" t="str">
        <f aca="false">PROPER(TRIM(raw_data!A:A))</f>
        <v>Cute Christmas Fence Garden Decorations For Holiday Home</v>
      </c>
      <c r="B56" s="8" t="n">
        <f aca="false">IFERROR(VALUE(TRIM(SUBSTITUTE(LOWER(raw_data!B13), "ksh", ""))), "")</f>
        <v>990</v>
      </c>
      <c r="C56" s="8" t="n">
        <f aca="false">IFERROR(VALUE(TRIM(SUBSTITUTE(LOWER(raw_data!C13), "ksh", ""))), "")</f>
        <v>1500</v>
      </c>
      <c r="D56" s="21" t="n">
        <f aca="false">VALUE(TRIM(raw_data!D13))</f>
        <v>0.34</v>
      </c>
      <c r="E56" s="10" t="n">
        <f aca="false">IF(ISBLANK(raw_data!E13),"",ABS(TRIM(raw_data!E13)))</f>
        <v>39</v>
      </c>
      <c r="F56" s="11" t="n">
        <f aca="false">IF(ISBLANK(raw_data!F13),"",VALUE(LEFT(raw_data!F13,FIND(" ", raw_data!F13,1))))</f>
        <v>4.7</v>
      </c>
      <c r="G56" s="22" t="n">
        <f aca="false">IFERROR(ROUND(D56-((C56-B56)/C56),4), "")</f>
        <v>0</v>
      </c>
      <c r="H56" s="2" t="str">
        <f aca="false">=IF(OR(D56="", C56=""), "",IF(C56 &lt; B56, "Check prices", "OK"))</f>
        <v>OK</v>
      </c>
      <c r="I56" s="7" t="str">
        <f aca="false">IF(F56="","",IF(OR(F56&lt;0,F56&gt;5),"EVALUATE","OK"))</f>
        <v>OK</v>
      </c>
      <c r="J56" s="23" t="str">
        <f aca="false">IF(D56="","",IF(OR(D56&lt;0,D56&gt;5),"EVALUATE","OK"))</f>
        <v>OK</v>
      </c>
      <c r="K56" s="8" t="n">
        <f aca="false">IFERROR(C56-B56,"")</f>
        <v>510</v>
      </c>
      <c r="L56" s="7" t="str">
        <f aca="false">IF(ISBLANK(F56), "MISSING", IF(F56&lt;3, "POOR", IF(F56&gt;4.5, "EXCELLENT", IF(AND(F56&gt;=3, F56&lt;=4), "AVERAGE", "UN-CATEGORISED"))))</f>
        <v>EXCELLENT</v>
      </c>
      <c r="M56" s="7" t="str">
        <f aca="false">IF(L56="UN-CATEGORISED", "AVERAGE", L56)</f>
        <v>EXCELLENT</v>
      </c>
    </row>
    <row r="57" customFormat="false" ht="13.2" hidden="false" customHeight="false" outlineLevel="0" collapsed="false">
      <c r="A57" s="7" t="str">
        <f aca="false">PROPER(TRIM(raw_data!A:A))</f>
        <v>Simple Metal Dog Art Sculpture Decoration For Home Office</v>
      </c>
      <c r="B57" s="8" t="n">
        <f aca="false">IFERROR(VALUE(TRIM(SUBSTITUTE(LOWER(raw_data!B43), "ksh", ""))), "")</f>
        <v>238</v>
      </c>
      <c r="C57" s="8" t="n">
        <f aca="false">IFERROR(VALUE(TRIM(SUBSTITUTE(LOWER(raw_data!C43), "ksh", ""))), "")</f>
        <v>476</v>
      </c>
      <c r="D57" s="21" t="n">
        <f aca="false">VALUE(TRIM(raw_data!D43))</f>
        <v>0.5</v>
      </c>
      <c r="E57" s="10" t="str">
        <f aca="false">IF(ISBLANK(raw_data!E43),"",ABS(TRIM(raw_data!E43)))</f>
        <v/>
      </c>
      <c r="F57" s="11" t="str">
        <f aca="false">IF(ISBLANK(raw_data!F43),"",VALUE(LEFT(raw_data!F43,FIND(" ", raw_data!F43,1))))</f>
        <v/>
      </c>
      <c r="G57" s="22" t="n">
        <f aca="false">IFERROR(ROUND(D57-((C57-B57)/C57),4), "")</f>
        <v>0</v>
      </c>
      <c r="H57" s="2" t="str">
        <f aca="false">=IF(OR(D57="", C57=""), "",IF(C57 &lt; B57, "Check prices", "OK"))</f>
        <v>OK</v>
      </c>
      <c r="I57" s="7" t="str">
        <f aca="false">IF(F57="","",IF(OR(F57&lt;0,F57&gt;5),"EVALUATE","OK"))</f>
        <v/>
      </c>
      <c r="J57" s="23" t="str">
        <f aca="false">IF(D57="","",IF(OR(D57&lt;0,D57&gt;5),"EVALUATE","OK"))</f>
        <v>OK</v>
      </c>
      <c r="K57" s="8" t="n">
        <f aca="false">IFERROR(C57-B57,"")</f>
        <v>238</v>
      </c>
      <c r="L57" s="7" t="str">
        <f aca="false">IF(ISBLANK(F57), "MISSING", IF(F57&lt;3, "POOR", IF(F57&gt;4.5, "EXCELLENT", IF(AND(F57&gt;=3, F57&lt;=4), "AVERAGE", "UN-CATEGORISED"))))</f>
        <v>EXCELLENT</v>
      </c>
      <c r="M57" s="7" t="str">
        <f aca="false">IF(L57="UN-CATEGORISED", "AVERAGE", L57)</f>
        <v>EXCELLENT</v>
      </c>
    </row>
    <row r="58" customFormat="false" ht="13.2" hidden="false" customHeight="false" outlineLevel="0" collapsed="false">
      <c r="A58" s="7" t="str">
        <f aca="false">PROPER(TRIM(raw_data!A:A))</f>
        <v>Christmas Fence Garden Decorations Outdoor For Holiday Home</v>
      </c>
      <c r="B58" s="8" t="n">
        <f aca="false">IFERROR(VALUE(TRIM(SUBSTITUTE(LOWER(raw_data!B64), "ksh", ""))), "")</f>
        <v>2115</v>
      </c>
      <c r="C58" s="8" t="n">
        <f aca="false">IFERROR(VALUE(TRIM(SUBSTITUTE(LOWER(raw_data!C64), "ksh", ""))), "")</f>
        <v>4700</v>
      </c>
      <c r="D58" s="21" t="n">
        <f aca="false">VALUE(TRIM(raw_data!D64))</f>
        <v>0.55</v>
      </c>
      <c r="E58" s="10" t="n">
        <f aca="false">IF(ISBLANK(raw_data!E64),"",ABS(TRIM(raw_data!E64)))</f>
        <v>13</v>
      </c>
      <c r="F58" s="11" t="n">
        <f aca="false">IF(ISBLANK(raw_data!F64),"",VALUE(LEFT(raw_data!F64,FIND(" ", raw_data!F64,1))))</f>
        <v>2.1</v>
      </c>
      <c r="G58" s="22" t="n">
        <f aca="false">IFERROR(ROUND(D58-((C58-B58)/C58),4), "")</f>
        <v>0</v>
      </c>
      <c r="H58" s="2" t="str">
        <f aca="false">=IF(OR(D58="", C58=""), "",IF(C58 &lt; B58, "Check prices", "OK"))</f>
        <v>OK</v>
      </c>
      <c r="I58" s="7" t="str">
        <f aca="false">IF(F58="","",IF(OR(F58&lt;0,F58&gt;5),"EVALUATE","OK"))</f>
        <v>OK</v>
      </c>
      <c r="J58" s="23" t="str">
        <f aca="false">IF(D58="","",IF(OR(D58&lt;0,D58&gt;5),"EVALUATE","OK"))</f>
        <v>OK</v>
      </c>
      <c r="K58" s="8" t="n">
        <f aca="false">IFERROR(C58-B58,"")</f>
        <v>2585</v>
      </c>
      <c r="L58" s="7" t="str">
        <f aca="false">IF(ISBLANK(F58), "MISSING", IF(F58&lt;3, "POOR", IF(F58&gt;4.5, "EXCELLENT", IF(AND(F58&gt;=3, F58&lt;=4), "AVERAGE", "UN-CATEGORISED"))))</f>
        <v>POOR</v>
      </c>
      <c r="M58" s="7" t="str">
        <f aca="false">IF(L58="UN-CATEGORISED", "AVERAGE", L58)</f>
        <v>POOR</v>
      </c>
    </row>
    <row r="59" customFormat="false" ht="13.2" hidden="false" customHeight="false" outlineLevel="0" collapsed="false">
      <c r="A59" s="7" t="str">
        <f aca="false">PROPER(TRIM(raw_data!A:A))</f>
        <v>Angle Measuring Tool Full Metal Multi Angle Measuring Tool</v>
      </c>
      <c r="B59" s="8" t="n">
        <f aca="false">IFERROR(VALUE(TRIM(SUBSTITUTE(LOWER(raw_data!B69), "ksh", ""))), "")</f>
        <v>1000</v>
      </c>
      <c r="C59" s="8" t="n">
        <f aca="false">IFERROR(VALUE(TRIM(SUBSTITUTE(LOWER(raw_data!C69), "ksh", ""))), "")</f>
        <v>2000</v>
      </c>
      <c r="D59" s="21" t="n">
        <f aca="false">VALUE(TRIM(raw_data!D69))</f>
        <v>0.5</v>
      </c>
      <c r="E59" s="10" t="n">
        <f aca="false">IF(ISBLANK(raw_data!E69),"",ABS(TRIM(raw_data!E69)))</f>
        <v>7</v>
      </c>
      <c r="F59" s="11" t="n">
        <f aca="false">IF(ISBLANK(raw_data!F69),"",VALUE(LEFT(raw_data!F69,FIND(" ", raw_data!F69,1))))</f>
        <v>2.3</v>
      </c>
      <c r="G59" s="22" t="n">
        <f aca="false">IFERROR(ROUND(D59-((C59-B59)/C59),4), "")</f>
        <v>0</v>
      </c>
      <c r="H59" s="2" t="str">
        <f aca="false">=IF(OR(D59="", C59=""), "",IF(C59 &lt; B59, "Check prices", "OK"))</f>
        <v>OK</v>
      </c>
      <c r="I59" s="7" t="str">
        <f aca="false">IF(F59="","",IF(OR(F59&lt;0,F59&gt;5),"EVALUATE","OK"))</f>
        <v>OK</v>
      </c>
      <c r="J59" s="23" t="str">
        <f aca="false">IF(D59="","",IF(OR(D59&lt;0,D59&gt;5),"EVALUATE","OK"))</f>
        <v>OK</v>
      </c>
      <c r="K59" s="8" t="n">
        <f aca="false">IFERROR(C59-B59,"")</f>
        <v>1000</v>
      </c>
      <c r="L59" s="7" t="str">
        <f aca="false">IF(ISBLANK(F59), "MISSING", IF(F59&lt;3, "POOR", IF(F59&gt;4.5, "EXCELLENT", IF(AND(F59&gt;=3, F59&lt;=4), "AVERAGE", "UN-CATEGORISED"))))</f>
        <v>POOR</v>
      </c>
      <c r="M59" s="7" t="str">
        <f aca="false">IF(L59="UN-CATEGORISED", "AVERAGE", L59)</f>
        <v>POOR</v>
      </c>
    </row>
    <row r="60" customFormat="false" ht="13.2" hidden="false" customHeight="false" outlineLevel="0" collapsed="false">
      <c r="A60" s="7" t="str">
        <f aca="false">PROPER(TRIM(raw_data!A:A))</f>
        <v>12V 19500Rpm Handheld Electric Angle Grinder Tool - Uk - Yellow/Black</v>
      </c>
      <c r="B60" s="8" t="n">
        <f aca="false">IFERROR(VALUE(TRIM(SUBSTITUTE(LOWER(raw_data!B85), "ksh", ""))), "")</f>
        <v>330</v>
      </c>
      <c r="C60" s="8" t="n">
        <f aca="false">IFERROR(VALUE(TRIM(SUBSTITUTE(LOWER(raw_data!C85), "ksh", ""))), "")</f>
        <v>647</v>
      </c>
      <c r="D60" s="21" t="n">
        <f aca="false">VALUE(TRIM(raw_data!D85))</f>
        <v>0.49</v>
      </c>
      <c r="E60" s="10" t="n">
        <f aca="false">IF(ISBLANK(raw_data!E85),"",ABS(TRIM(raw_data!E85)))</f>
        <v>1</v>
      </c>
      <c r="F60" s="11" t="n">
        <f aca="false">IF(ISBLANK(raw_data!F85),"",VALUE(LEFT(raw_data!F85,FIND(" ", raw_data!F85,1))))</f>
        <v>4</v>
      </c>
      <c r="G60" s="22" t="n">
        <f aca="false">IFERROR(ROUND(D60-((C60-B60)/C60),4), "")</f>
        <v>0</v>
      </c>
      <c r="H60" s="2" t="str">
        <f aca="false">=IF(OR(D60="", C60=""), "",IF(C60 &lt; B60, "Check prices", "OK"))</f>
        <v>OK</v>
      </c>
      <c r="I60" s="7" t="str">
        <f aca="false">IF(F60="","",IF(OR(F60&lt;0,F60&gt;5),"EVALUATE","OK"))</f>
        <v>OK</v>
      </c>
      <c r="J60" s="23" t="str">
        <f aca="false">IF(D60="","",IF(OR(D60&lt;0,D60&gt;5),"EVALUATE","OK"))</f>
        <v>OK</v>
      </c>
      <c r="K60" s="8" t="n">
        <f aca="false">IFERROR(C60-B60,"")</f>
        <v>317</v>
      </c>
      <c r="L60" s="7" t="str">
        <f aca="false">IF(ISBLANK(F60), "MISSING", IF(F60&lt;3, "POOR", IF(F60&gt;4.5, "EXCELLENT", IF(AND(F60&gt;=3, F60&lt;=4), "AVERAGE", "UN-CATEGORISED"))))</f>
        <v>AVERAGE</v>
      </c>
      <c r="M60" s="7" t="str">
        <f aca="false">IF(L60="UN-CATEGORISED", "AVERAGE", L60)</f>
        <v>AVERAGE</v>
      </c>
    </row>
    <row r="61" customFormat="false" ht="13.2" hidden="false" customHeight="false" outlineLevel="0" collapsed="false">
      <c r="A61" s="7" t="str">
        <f aca="false">PROPER(TRIM(raw_data!A:A))</f>
        <v>Simple Metal Dog Art Sculpture Decoration For Home Office</v>
      </c>
      <c r="B61" s="8" t="n">
        <f aca="false">IFERROR(VALUE(TRIM(SUBSTITUTE(LOWER(raw_data!B94), "ksh", ""))), "")</f>
        <v>850</v>
      </c>
      <c r="C61" s="8" t="n">
        <f aca="false">IFERROR(VALUE(TRIM(SUBSTITUTE(LOWER(raw_data!C94), "ksh", ""))), "")</f>
        <v>1700</v>
      </c>
      <c r="D61" s="21" t="n">
        <f aca="false">VALUE(TRIM(raw_data!D94))</f>
        <v>0.5</v>
      </c>
      <c r="E61" s="10" t="str">
        <f aca="false">IF(ISBLANK(raw_data!E94),"",ABS(TRIM(raw_data!E94)))</f>
        <v/>
      </c>
      <c r="F61" s="11" t="str">
        <f aca="false">IF(ISBLANK(raw_data!F94),"",VALUE(LEFT(raw_data!F94,FIND(" ", raw_data!F94,1))))</f>
        <v/>
      </c>
      <c r="G61" s="22" t="n">
        <f aca="false">IFERROR(ROUND(D61-((C61-B61)/C61),4), "")</f>
        <v>0</v>
      </c>
      <c r="H61" s="2" t="str">
        <f aca="false">=IF(OR(D61="", C61=""), "",IF(C61 &lt; B61, "Check prices", "OK"))</f>
        <v>OK</v>
      </c>
      <c r="I61" s="7" t="str">
        <f aca="false">IF(F61="","",IF(OR(F61&lt;0,F61&gt;5),"EVALUATE","OK"))</f>
        <v/>
      </c>
      <c r="J61" s="23" t="str">
        <f aca="false">IF(D61="","",IF(OR(D61&lt;0,D61&gt;5),"EVALUATE","OK"))</f>
        <v>OK</v>
      </c>
      <c r="K61" s="8" t="n">
        <f aca="false">IFERROR(C61-B61,"")</f>
        <v>850</v>
      </c>
      <c r="L61" s="7" t="str">
        <f aca="false">IF(ISBLANK(F61), "MISSING", IF(F61&lt;3, "POOR", IF(F61&gt;4.5, "EXCELLENT", IF(AND(F61&gt;=3, F61&lt;=4), "AVERAGE", "UN-CATEGORISED"))))</f>
        <v>EXCELLENT</v>
      </c>
      <c r="M61" s="7" t="str">
        <f aca="false">IF(L61="UN-CATEGORISED", "AVERAGE", L61)</f>
        <v>EXCELLENT</v>
      </c>
    </row>
    <row r="62" customFormat="false" ht="13.2" hidden="false" customHeight="false" outlineLevel="0" collapsed="false">
      <c r="A62" s="7" t="str">
        <f aca="false">PROPER(TRIM(raw_data!A:A))</f>
        <v>5 Pieces/Set Of Stainless Steel Induction Cooker Pots</v>
      </c>
      <c r="B62" s="8" t="n">
        <f aca="false">IFERROR(VALUE(TRIM(SUBSTITUTE(LOWER(raw_data!B95), "ksh", ""))), "")</f>
        <v>1300</v>
      </c>
      <c r="C62" s="8" t="n">
        <f aca="false">IFERROR(VALUE(TRIM(SUBSTITUTE(LOWER(raw_data!C95), "ksh", ""))), "")</f>
        <v>2500</v>
      </c>
      <c r="D62" s="21" t="n">
        <f aca="false">VALUE(TRIM(raw_data!D95))</f>
        <v>0.48</v>
      </c>
      <c r="E62" s="10" t="str">
        <f aca="false">IF(ISBLANK(raw_data!E95),"",ABS(TRIM(raw_data!E95)))</f>
        <v/>
      </c>
      <c r="F62" s="11" t="str">
        <f aca="false">IF(ISBLANK(raw_data!F95),"",VALUE(LEFT(raw_data!F95,FIND(" ", raw_data!F95,1))))</f>
        <v/>
      </c>
      <c r="G62" s="22" t="n">
        <f aca="false">IFERROR(ROUND(D62-((C62-B62)/C62),4), "")</f>
        <v>0</v>
      </c>
      <c r="H62" s="2" t="str">
        <f aca="false">=IF(OR(D62="", C62=""), "",IF(C62 &lt; B62, "Check prices", "OK"))</f>
        <v>OK</v>
      </c>
      <c r="I62" s="7" t="str">
        <f aca="false">IF(F62="","",IF(OR(F62&lt;0,F62&gt;5),"EVALUATE","OK"))</f>
        <v/>
      </c>
      <c r="J62" s="23" t="str">
        <f aca="false">IF(D62="","",IF(OR(D62&lt;0,D62&gt;5),"EVALUATE","OK"))</f>
        <v>OK</v>
      </c>
      <c r="K62" s="8" t="n">
        <f aca="false">IFERROR(C62-B62,"")</f>
        <v>1200</v>
      </c>
      <c r="L62" s="7" t="str">
        <f aca="false">IF(ISBLANK(F62), "MISSING", IF(F62&lt;3, "POOR", IF(F62&gt;4.5, "EXCELLENT", IF(AND(F62&gt;=3, F62&lt;=4), "AVERAGE", "UN-CATEGORISED"))))</f>
        <v>EXCELLENT</v>
      </c>
      <c r="M62" s="7" t="str">
        <f aca="false">IF(L62="UN-CATEGORISED", "AVERAGE", L62)</f>
        <v>EXCELLENT</v>
      </c>
    </row>
    <row r="63" customFormat="false" ht="13.2" hidden="false" customHeight="false" outlineLevel="0" collapsed="false">
      <c r="A63" s="7" t="str">
        <f aca="false">PROPER(TRIM(raw_data!A:A))</f>
        <v>Mythco 120Cob Solar Wall Ligt With Motion Sensor And Remote Control 3 Modes</v>
      </c>
      <c r="B63" s="8" t="n">
        <f aca="false">IFERROR(VALUE(TRIM(SUBSTITUTE(LOWER(raw_data!B99), "ksh", ""))), "")</f>
        <v>1200</v>
      </c>
      <c r="C63" s="8" t="n">
        <f aca="false">IFERROR(VALUE(TRIM(SUBSTITUTE(LOWER(raw_data!C99), "ksh", ""))), "")</f>
        <v>2400</v>
      </c>
      <c r="D63" s="21" t="n">
        <f aca="false">VALUE(TRIM(raw_data!D99))</f>
        <v>0.5</v>
      </c>
      <c r="E63" s="10" t="str">
        <f aca="false">IF(ISBLANK(raw_data!E99),"",ABS(TRIM(raw_data!E99)))</f>
        <v/>
      </c>
      <c r="F63" s="11" t="str">
        <f aca="false">IF(ISBLANK(raw_data!F99),"",VALUE(LEFT(raw_data!F99,FIND(" ", raw_data!F99,1))))</f>
        <v/>
      </c>
      <c r="G63" s="22" t="n">
        <f aca="false">IFERROR(ROUND(D63-((C63-B63)/C63),4), "")</f>
        <v>0</v>
      </c>
      <c r="H63" s="2" t="str">
        <f aca="false">=IF(OR(D63="", C63=""), "",IF(C63 &lt; B63, "Check prices", "OK"))</f>
        <v>OK</v>
      </c>
      <c r="I63" s="7" t="str">
        <f aca="false">IF(F63="","",IF(OR(F63&lt;0,F63&gt;5),"EVALUATE","OK"))</f>
        <v/>
      </c>
      <c r="J63" s="23" t="str">
        <f aca="false">IF(D63="","",IF(OR(D63&lt;0,D63&gt;5),"EVALUATE","OK"))</f>
        <v>OK</v>
      </c>
      <c r="K63" s="8" t="n">
        <f aca="false">IFERROR(C63-B63,"")</f>
        <v>1200</v>
      </c>
      <c r="L63" s="7" t="str">
        <f aca="false">IF(ISBLANK(F63), "MISSING", IF(F63&lt;3, "POOR", IF(F63&gt;4.5, "EXCELLENT", IF(AND(F63&gt;=3, F63&lt;=4), "AVERAGE", "UN-CATEGORISED"))))</f>
        <v>EXCELLENT</v>
      </c>
      <c r="M63" s="7" t="str">
        <f aca="false">IF(L63="UN-CATEGORISED", "AVERAGE", L63)</f>
        <v>EXCELLENT</v>
      </c>
    </row>
    <row r="64" customFormat="false" ht="13.2" hidden="false" customHeight="false" outlineLevel="0" collapsed="false">
      <c r="A64" s="7" t="str">
        <f aca="false">PROPER(TRIM(raw_data!A:A))</f>
        <v>5-Pcs Stainless Steel Cooking Pot Set With Steamed Slices</v>
      </c>
      <c r="B64" s="8" t="n">
        <f aca="false">IFERROR(VALUE(TRIM(SUBSTITUTE(LOWER(raw_data!B115), "ksh", ""))), "")</f>
        <v>450</v>
      </c>
      <c r="C64" s="8" t="n">
        <f aca="false">IFERROR(VALUE(TRIM(SUBSTITUTE(LOWER(raw_data!C115), "ksh", ""))), "")</f>
        <v>900</v>
      </c>
      <c r="D64" s="21" t="n">
        <f aca="false">VALUE(TRIM(raw_data!D115))</f>
        <v>0.5</v>
      </c>
      <c r="E64" s="10" t="n">
        <f aca="false">IF(ISBLANK(raw_data!E115),"",ABS(TRIM(raw_data!E115)))</f>
        <v>1</v>
      </c>
      <c r="F64" s="11" t="n">
        <f aca="false">IF(ISBLANK(raw_data!F115),"",VALUE(LEFT(raw_data!F115,FIND(" ", raw_data!F115,1))))</f>
        <v>2</v>
      </c>
      <c r="G64" s="22" t="n">
        <f aca="false">IFERROR(ROUND(D64-((C64-B64)/C64),4), "")</f>
        <v>0</v>
      </c>
      <c r="H64" s="2" t="str">
        <f aca="false">=IF(OR(D64="", C64=""), "",IF(C64 &lt; B64, "Check prices", "OK"))</f>
        <v>OK</v>
      </c>
      <c r="I64" s="7" t="str">
        <f aca="false">IF(F64="","",IF(OR(F64&lt;0,F64&gt;5),"EVALUATE","OK"))</f>
        <v>OK</v>
      </c>
      <c r="J64" s="23" t="str">
        <f aca="false">IF(D64="","",IF(OR(D64&lt;0,D64&gt;5),"EVALUATE","OK"))</f>
        <v>OK</v>
      </c>
      <c r="K64" s="8" t="n">
        <f aca="false">IFERROR(C64-B64,"")</f>
        <v>450</v>
      </c>
      <c r="L64" s="7" t="str">
        <f aca="false">IF(ISBLANK(F64), "MISSING", IF(F64&lt;3, "POOR", IF(F64&gt;4.5, "EXCELLENT", IF(AND(F64&gt;=3, F64&lt;=4), "AVERAGE", "UN-CATEGORISED"))))</f>
        <v>POOR</v>
      </c>
      <c r="M64" s="7" t="str">
        <f aca="false">IF(L64="UN-CATEGORISED", "AVERAGE", L64)</f>
        <v>POOR</v>
      </c>
    </row>
    <row r="65" customFormat="false" ht="13.2" hidden="false" customHeight="false" outlineLevel="0" collapsed="false">
      <c r="A65" s="7" t="str">
        <f aca="false">PROPER(TRIM(raw_data!A:A))</f>
        <v>120W Cordless Vacuum Cleaners Handheld Electric Vacuum Cleaner</v>
      </c>
      <c r="B65" s="8" t="n">
        <f aca="false">IFERROR(VALUE(TRIM(SUBSTITUTE(LOWER(raw_data!B19), "ksh", ""))), "")</f>
        <v>2025</v>
      </c>
      <c r="C65" s="8" t="n">
        <f aca="false">IFERROR(VALUE(TRIM(SUBSTITUTE(LOWER(raw_data!C19), "ksh", ""))), "")</f>
        <v>3971</v>
      </c>
      <c r="D65" s="21" t="n">
        <f aca="false">VALUE(TRIM(raw_data!D19))</f>
        <v>0.49</v>
      </c>
      <c r="E65" s="10" t="n">
        <f aca="false">IF(ISBLANK(raw_data!E19),"",ABS(TRIM(raw_data!E19)))</f>
        <v>3</v>
      </c>
      <c r="F65" s="11" t="n">
        <f aca="false">IF(ISBLANK(raw_data!F19),"",VALUE(LEFT(raw_data!F19,FIND(" ", raw_data!F19,1))))</f>
        <v>5</v>
      </c>
      <c r="G65" s="22" t="n">
        <f aca="false">IFERROR(ROUND(D65-((C65-B65)/C65),4), "")</f>
        <v>-0.0001</v>
      </c>
      <c r="H65" s="2" t="str">
        <f aca="false">=IF(OR(D65="", C65=""), "",IF(C65 &lt; B65, "Check prices", "OK"))</f>
        <v>OK</v>
      </c>
      <c r="I65" s="7" t="str">
        <f aca="false">IF(F65="","",IF(OR(F65&lt;0,F65&gt;5),"EVALUATE","OK"))</f>
        <v>OK</v>
      </c>
      <c r="J65" s="23" t="str">
        <f aca="false">IF(D65="","",IF(OR(D65&lt;0,D65&gt;5),"EVALUATE","OK"))</f>
        <v>OK</v>
      </c>
      <c r="K65" s="8" t="n">
        <f aca="false">IFERROR(C65-B65,"")</f>
        <v>1946</v>
      </c>
      <c r="L65" s="7" t="str">
        <f aca="false">IF(ISBLANK(F65), "MISSING", IF(F65&lt;3, "POOR", IF(F65&gt;4.5, "EXCELLENT", IF(AND(F65&gt;=3, F65&lt;=4), "AVERAGE", "UN-CATEGORISED"))))</f>
        <v>EXCELLENT</v>
      </c>
      <c r="M65" s="7" t="str">
        <f aca="false">IF(L65="UN-CATEGORISED", "AVERAGE", L65)</f>
        <v>EXCELLENT</v>
      </c>
    </row>
    <row r="66" customFormat="false" ht="13.2" hidden="false" customHeight="false" outlineLevel="0" collapsed="false">
      <c r="A66" s="7" t="str">
        <f aca="false">PROPER(TRIM(raw_data!A:A))</f>
        <v>Intelligent Led Body Sensor Wireless Lighting Night Light Usb</v>
      </c>
      <c r="B66" s="8" t="n">
        <f aca="false">IFERROR(VALUE(TRIM(SUBSTITUTE(LOWER(raw_data!B49), "ksh", ""))), "")</f>
        <v>671</v>
      </c>
      <c r="C66" s="8" t="n">
        <f aca="false">IFERROR(VALUE(TRIM(SUBSTITUTE(LOWER(raw_data!C49), "ksh", ""))), "")</f>
        <v>1316</v>
      </c>
      <c r="D66" s="21" t="n">
        <f aca="false">VALUE(TRIM(raw_data!D49))</f>
        <v>0.49</v>
      </c>
      <c r="E66" s="10" t="str">
        <f aca="false">IF(ISBLANK(raw_data!E49),"",ABS(TRIM(raw_data!E49)))</f>
        <v/>
      </c>
      <c r="F66" s="11" t="str">
        <f aca="false">IF(ISBLANK(raw_data!F49),"",VALUE(LEFT(raw_data!F49,FIND(" ", raw_data!F49,1))))</f>
        <v/>
      </c>
      <c r="G66" s="22" t="n">
        <f aca="false">IFERROR(ROUND(D66-((C66-B66)/C66),4), "")</f>
        <v>-0.0001</v>
      </c>
      <c r="H66" s="2" t="str">
        <f aca="false">=IF(OR(D66="", C66=""), "",IF(C66 &lt; B66, "Check prices", "OK"))</f>
        <v>OK</v>
      </c>
      <c r="I66" s="7" t="str">
        <f aca="false">IF(F66="","",IF(OR(F66&lt;0,F66&gt;5),"EVALUATE","OK"))</f>
        <v/>
      </c>
      <c r="J66" s="23" t="str">
        <f aca="false">IF(D66="","",IF(OR(D66&lt;0,D66&gt;5),"EVALUATE","OK"))</f>
        <v>OK</v>
      </c>
      <c r="K66" s="8" t="n">
        <f aca="false">IFERROR(C66-B66,"")</f>
        <v>645</v>
      </c>
      <c r="L66" s="7" t="str">
        <f aca="false">IF(ISBLANK(F66), "MISSING", IF(F66&lt;3, "POOR", IF(F66&gt;4.5, "EXCELLENT", IF(AND(F66&gt;=3, F66&lt;=4), "AVERAGE", "UN-CATEGORISED"))))</f>
        <v>EXCELLENT</v>
      </c>
      <c r="M66" s="7" t="str">
        <f aca="false">IF(L66="UN-CATEGORISED", "AVERAGE", L66)</f>
        <v>EXCELLENT</v>
      </c>
    </row>
    <row r="67" customFormat="false" ht="13.2" hidden="false" customHeight="false" outlineLevel="0" collapsed="false">
      <c r="A67" s="7" t="str">
        <f aca="false">PROPER(TRIM(raw_data!A:A))</f>
        <v>Vic Wireless Vacuum Cleaner Dual Use For Home And Car 120W High Power Powerful</v>
      </c>
      <c r="B67" s="8" t="n">
        <f aca="false">IFERROR(VALUE(TRIM(SUBSTITUTE(LOWER(raw_data!B59), "ksh", ""))), "")</f>
        <v>799</v>
      </c>
      <c r="C67" s="8" t="n">
        <f aca="false">IFERROR(VALUE(TRIM(SUBSTITUTE(LOWER(raw_data!C59), "ksh", ""))), "")</f>
        <v>1567</v>
      </c>
      <c r="D67" s="21" t="n">
        <f aca="false">VALUE(TRIM(raw_data!D59))</f>
        <v>0.49</v>
      </c>
      <c r="E67" s="10" t="str">
        <f aca="false">IF(ISBLANK(raw_data!E59),"",ABS(TRIM(raw_data!E59)))</f>
        <v/>
      </c>
      <c r="F67" s="11" t="str">
        <f aca="false">IF(ISBLANK(raw_data!F59),"",VALUE(LEFT(raw_data!F59,FIND(" ", raw_data!F59,1))))</f>
        <v/>
      </c>
      <c r="G67" s="22" t="n">
        <f aca="false">IFERROR(ROUND(D67-((C67-B67)/C67),4), "")</f>
        <v>-0.0001</v>
      </c>
      <c r="H67" s="2" t="str">
        <f aca="false">=IF(OR(D67="", C67=""), "",IF(C67 &lt; B67, "Check prices", "OK"))</f>
        <v>OK</v>
      </c>
      <c r="I67" s="7" t="str">
        <f aca="false">IF(F67="","",IF(OR(F67&lt;0,F67&gt;5),"EVALUATE","OK"))</f>
        <v/>
      </c>
      <c r="J67" s="23" t="str">
        <f aca="false">IF(D67="","",IF(OR(D67&lt;0,D67&gt;5),"EVALUATE","OK"))</f>
        <v>OK</v>
      </c>
      <c r="K67" s="8" t="n">
        <f aca="false">IFERROR(C67-B67,"")</f>
        <v>768</v>
      </c>
      <c r="L67" s="7" t="str">
        <f aca="false">IF(ISBLANK(F67), "MISSING", IF(F67&lt;3, "POOR", IF(F67&gt;4.5, "EXCELLENT", IF(AND(F67&gt;=3, F67&lt;=4), "AVERAGE", "UN-CATEGORISED"))))</f>
        <v>EXCELLENT</v>
      </c>
      <c r="M67" s="7" t="str">
        <f aca="false">IF(L67="UN-CATEGORISED", "AVERAGE", L67)</f>
        <v>EXCELLENT</v>
      </c>
    </row>
    <row r="68" customFormat="false" ht="13.2" hidden="false" customHeight="false" outlineLevel="0" collapsed="false">
      <c r="A68" s="7" t="str">
        <f aca="false">PROPER(TRIM(raw_data!A:A))</f>
        <v>Artificial Potted Flowers Room Decorative Flowers (2 Pieces)</v>
      </c>
      <c r="B68" s="8" t="n">
        <f aca="false">IFERROR(VALUE(TRIM(SUBSTITUTE(LOWER(raw_data!B72), "ksh", ""))), "")</f>
        <v>2300</v>
      </c>
      <c r="C68" s="8" t="n">
        <f aca="false">IFERROR(VALUE(TRIM(SUBSTITUTE(LOWER(raw_data!C72), "ksh", ""))), "")</f>
        <v>3240</v>
      </c>
      <c r="D68" s="21" t="n">
        <f aca="false">VALUE(TRIM(raw_data!D72))</f>
        <v>0.29</v>
      </c>
      <c r="E68" s="10" t="n">
        <f aca="false">IF(ISBLANK(raw_data!E72),"",ABS(TRIM(raw_data!E72)))</f>
        <v>5</v>
      </c>
      <c r="F68" s="11" t="n">
        <f aca="false">IF(ISBLANK(raw_data!F72),"",VALUE(LEFT(raw_data!F72,FIND(" ", raw_data!F72,1))))</f>
        <v>3</v>
      </c>
      <c r="G68" s="22" t="n">
        <f aca="false">IFERROR(ROUND(D68-((C68-B68)/C68),4), "")</f>
        <v>-0.0001</v>
      </c>
      <c r="H68" s="2" t="str">
        <f aca="false">=IF(OR(D68="", C68=""), "",IF(C68 &lt; B68, "Check prices", "OK"))</f>
        <v>OK</v>
      </c>
      <c r="I68" s="7" t="str">
        <f aca="false">IF(F68="","",IF(OR(F68&lt;0,F68&gt;5),"EVALUATE","OK"))</f>
        <v>OK</v>
      </c>
      <c r="J68" s="23" t="str">
        <f aca="false">IF(D68="","",IF(OR(D68&lt;0,D68&gt;5),"EVALUATE","OK"))</f>
        <v>OK</v>
      </c>
      <c r="K68" s="8" t="n">
        <f aca="false">IFERROR(C68-B68,"")</f>
        <v>940</v>
      </c>
      <c r="L68" s="7" t="str">
        <f aca="false">IF(ISBLANK(F68), "MISSING", IF(F68&lt;3, "POOR", IF(F68&gt;4.5, "EXCELLENT", IF(AND(F68&gt;=3, F68&lt;=4), "AVERAGE", "UN-CATEGORISED"))))</f>
        <v>AVERAGE</v>
      </c>
      <c r="M68" s="7" t="str">
        <f aca="false">IF(L68="UN-CATEGORISED", "AVERAGE", L68)</f>
        <v>AVERAGE</v>
      </c>
    </row>
    <row r="69" customFormat="false" ht="13.2" hidden="false" customHeight="false" outlineLevel="0" collapsed="false">
      <c r="A69" s="7" t="str">
        <f aca="false">PROPER(TRIM(raw_data!A:A))</f>
        <v>380Ml Usb Rechargeable Portable Small Blenders And Juicers</v>
      </c>
      <c r="B69" s="8" t="n">
        <f aca="false">IFERROR(VALUE(TRIM(SUBSTITUTE(LOWER(raw_data!B82), "ksh", ""))), "")</f>
        <v>979</v>
      </c>
      <c r="C69" s="8" t="n">
        <f aca="false">IFERROR(VALUE(TRIM(SUBSTITUTE(LOWER(raw_data!C82), "ksh", ""))), "")</f>
        <v>1920</v>
      </c>
      <c r="D69" s="21" t="n">
        <f aca="false">VALUE(TRIM(raw_data!D82))</f>
        <v>0.49</v>
      </c>
      <c r="E69" s="10" t="n">
        <f aca="false">IF(ISBLANK(raw_data!E82),"",ABS(TRIM(raw_data!E82)))</f>
        <v>1</v>
      </c>
      <c r="F69" s="11" t="n">
        <f aca="false">IF(ISBLANK(raw_data!F82),"",VALUE(LEFT(raw_data!F82,FIND(" ", raw_data!F82,1))))</f>
        <v>5</v>
      </c>
      <c r="G69" s="22" t="n">
        <f aca="false">IFERROR(ROUND(D69-((C69-B69)/C69),4), "")</f>
        <v>-0.0001</v>
      </c>
      <c r="H69" s="2" t="str">
        <f aca="false">=IF(OR(D69="", C69=""), "",IF(C69 &lt; B69, "Check prices", "OK"))</f>
        <v>OK</v>
      </c>
      <c r="I69" s="7" t="str">
        <f aca="false">IF(F69="","",IF(OR(F69&lt;0,F69&gt;5),"EVALUATE","OK"))</f>
        <v>OK</v>
      </c>
      <c r="J69" s="23" t="str">
        <f aca="false">IF(D69="","",IF(OR(D69&lt;0,D69&gt;5),"EVALUATE","OK"))</f>
        <v>OK</v>
      </c>
      <c r="K69" s="8" t="n">
        <f aca="false">IFERROR(C69-B69,"")</f>
        <v>941</v>
      </c>
      <c r="L69" s="7" t="str">
        <f aca="false">IF(ISBLANK(F69), "MISSING", IF(F69&lt;3, "POOR", IF(F69&gt;4.5, "EXCELLENT", IF(AND(F69&gt;=3, F69&lt;=4), "AVERAGE", "UN-CATEGORISED"))))</f>
        <v>EXCELLENT</v>
      </c>
      <c r="M69" s="7" t="str">
        <f aca="false">IF(L69="UN-CATEGORISED", "AVERAGE", L69)</f>
        <v>EXCELLENT</v>
      </c>
    </row>
    <row r="70" customFormat="false" ht="13.2" hidden="false" customHeight="false" outlineLevel="0" collapsed="false">
      <c r="A70" s="7" t="str">
        <f aca="false">PROPER(TRIM(raw_data!A:A))</f>
        <v>32Pcs Portable Cordless Drill Set With Cyclic Battery Drive -26 Variable Speed</v>
      </c>
      <c r="B70" s="8" t="n">
        <f aca="false">IFERROR(VALUE(TRIM(SUBSTITUTE(LOWER(raw_data!B114), "ksh", ""))), "")</f>
        <v>199</v>
      </c>
      <c r="C70" s="8" t="n">
        <f aca="false">IFERROR(VALUE(TRIM(SUBSTITUTE(LOWER(raw_data!C114), "ksh", ""))), "")</f>
        <v>553</v>
      </c>
      <c r="D70" s="21" t="n">
        <f aca="false">VALUE(TRIM(raw_data!D114))</f>
        <v>0.64</v>
      </c>
      <c r="E70" s="10" t="str">
        <f aca="false">IF(ISBLANK(raw_data!E114),"",ABS(TRIM(raw_data!E114)))</f>
        <v/>
      </c>
      <c r="F70" s="11" t="str">
        <f aca="false">IF(ISBLANK(raw_data!F114),"",VALUE(LEFT(raw_data!F114,FIND(" ", raw_data!F114,1))))</f>
        <v/>
      </c>
      <c r="G70" s="22" t="n">
        <f aca="false">IFERROR(ROUND(D70-((C70-B70)/C70),4), "")</f>
        <v>-0.0001</v>
      </c>
      <c r="H70" s="2" t="str">
        <f aca="false">=IF(OR(D70="", C70=""), "",IF(C70 &lt; B70, "Check prices", "OK"))</f>
        <v>OK</v>
      </c>
      <c r="I70" s="7" t="str">
        <f aca="false">IF(F70="","",IF(OR(F70&lt;0,F70&gt;5),"EVALUATE","OK"))</f>
        <v/>
      </c>
      <c r="J70" s="23" t="str">
        <f aca="false">IF(D70="","",IF(OR(D70&lt;0,D70&gt;5),"EVALUATE","OK"))</f>
        <v>OK</v>
      </c>
      <c r="K70" s="8" t="n">
        <f aca="false">IFERROR(C70-B70,"")</f>
        <v>354</v>
      </c>
      <c r="L70" s="7" t="str">
        <f aca="false">IF(ISBLANK(F70), "MISSING", IF(F70&lt;3, "POOR", IF(F70&gt;4.5, "EXCELLENT", IF(AND(F70&gt;=3, F70&lt;=4), "AVERAGE", "UN-CATEGORISED"))))</f>
        <v>EXCELLENT</v>
      </c>
      <c r="M70" s="7" t="str">
        <f aca="false">IF(L70="UN-CATEGORISED", "AVERAGE", L70)</f>
        <v>EXCELLENT</v>
      </c>
    </row>
    <row r="71" customFormat="false" ht="13.2" hidden="false" customHeight="false" outlineLevel="0" collapsed="false">
      <c r="A71" s="7" t="str">
        <f aca="false">PROPER(TRIM(raw_data!A:A))</f>
        <v>Agapeon Toothbrush Holder And Toothpaste Dispenser</v>
      </c>
      <c r="B71" s="8" t="n">
        <f aca="false">IFERROR(VALUE(TRIM(SUBSTITUTE(LOWER(raw_data!B12), "ksh", ""))), "")</f>
        <v>799</v>
      </c>
      <c r="C71" s="8" t="n">
        <f aca="false">IFERROR(VALUE(TRIM(SUBSTITUTE(LOWER(raw_data!C12), "ksh", ""))), "")</f>
        <v>999</v>
      </c>
      <c r="D71" s="21" t="n">
        <f aca="false">VALUE(TRIM(raw_data!D12))</f>
        <v>0.2</v>
      </c>
      <c r="E71" s="10" t="n">
        <f aca="false">IF(ISBLANK(raw_data!E12),"",ABS(TRIM(raw_data!E12)))</f>
        <v>12</v>
      </c>
      <c r="F71" s="11" t="n">
        <f aca="false">IF(ISBLANK(raw_data!F12),"",VALUE(LEFT(raw_data!F12,FIND(" ", raw_data!F12,1))))</f>
        <v>4.1</v>
      </c>
      <c r="G71" s="22" t="n">
        <f aca="false">IFERROR(ROUND(D71-((C71-B71)/C71),4), "")</f>
        <v>-0.0002</v>
      </c>
      <c r="H71" s="2" t="str">
        <f aca="false">=IF(OR(D71="", C71=""), "",IF(C71 &lt; B71, "Check prices", "OK"))</f>
        <v>OK</v>
      </c>
      <c r="I71" s="7" t="str">
        <f aca="false">IF(F71="","",IF(OR(F71&lt;0,F71&gt;5),"EVALUATE","OK"))</f>
        <v>OK</v>
      </c>
      <c r="J71" s="23" t="str">
        <f aca="false">IF(D71="","",IF(OR(D71&lt;0,D71&gt;5),"EVALUATE","OK"))</f>
        <v>OK</v>
      </c>
      <c r="K71" s="8" t="n">
        <f aca="false">IFERROR(C71-B71,"")</f>
        <v>200</v>
      </c>
      <c r="L71" s="7" t="str">
        <f aca="false">IF(ISBLANK(F71), "MISSING", IF(F71&lt;3, "POOR", IF(F71&gt;4.5, "EXCELLENT", IF(AND(F71&gt;=3, F71&lt;=4), "AVERAGE", "UN-CATEGORISED"))))</f>
        <v>UN-CATEGORISED</v>
      </c>
      <c r="M71" s="7" t="str">
        <f aca="false">IF(L71="UN-CATEGORISED", "AVERAGE", L71)</f>
        <v>AVERAGE</v>
      </c>
    </row>
    <row r="72" customFormat="false" ht="13.2" hidden="false" customHeight="false" outlineLevel="0" collapsed="false">
      <c r="A72" s="7" t="str">
        <f aca="false">PROPER(TRIM(raw_data!A:A))</f>
        <v>Large Lazy Inflatable Sofa Chairs Pvc Lounger Seat Bag</v>
      </c>
      <c r="B72" s="8" t="n">
        <f aca="false">IFERROR(VALUE(TRIM(SUBSTITUTE(LOWER(raw_data!B65), "ksh", ""))), "")</f>
        <v>445</v>
      </c>
      <c r="C72" s="8" t="n">
        <f aca="false">IFERROR(VALUE(TRIM(SUBSTITUTE(LOWER(raw_data!C65), "ksh", ""))), "")</f>
        <v>873</v>
      </c>
      <c r="D72" s="21" t="n">
        <f aca="false">VALUE(TRIM(raw_data!D65))</f>
        <v>0.49</v>
      </c>
      <c r="E72" s="10" t="n">
        <f aca="false">IF(ISBLANK(raw_data!E65),"",ABS(TRIM(raw_data!E65)))</f>
        <v>69</v>
      </c>
      <c r="F72" s="11" t="n">
        <f aca="false">IF(ISBLANK(raw_data!F65),"",VALUE(LEFT(raw_data!F65,FIND(" ", raw_data!F65,1))))</f>
        <v>2.8</v>
      </c>
      <c r="G72" s="22" t="n">
        <f aca="false">IFERROR(ROUND(D72-((C72-B72)/C72),4), "")</f>
        <v>-0.0003</v>
      </c>
      <c r="H72" s="2" t="str">
        <f aca="false">=IF(OR(D72="", C72=""), "",IF(C72 &lt; B72, "Check prices", "OK"))</f>
        <v>OK</v>
      </c>
      <c r="I72" s="7" t="str">
        <f aca="false">IF(F72="","",IF(OR(F72&lt;0,F72&gt;5),"EVALUATE","OK"))</f>
        <v>OK</v>
      </c>
      <c r="J72" s="23" t="str">
        <f aca="false">IF(D72="","",IF(OR(D72&lt;0,D72&gt;5),"EVALUATE","OK"))</f>
        <v>OK</v>
      </c>
      <c r="K72" s="8" t="n">
        <f aca="false">IFERROR(C72-B72,"")</f>
        <v>428</v>
      </c>
      <c r="L72" s="7" t="str">
        <f aca="false">IF(ISBLANK(F72), "MISSING", IF(F72&lt;3, "POOR", IF(F72&gt;4.5, "EXCELLENT", IF(AND(F72&gt;=3, F72&lt;=4), "AVERAGE", "UN-CATEGORISED"))))</f>
        <v>POOR</v>
      </c>
      <c r="M72" s="7" t="str">
        <f aca="false">IF(L72="UN-CATEGORISED", "AVERAGE", L72)</f>
        <v>POOR</v>
      </c>
    </row>
    <row r="73" customFormat="false" ht="13.2" hidden="false" customHeight="false" outlineLevel="0" collapsed="false">
      <c r="A73" s="7" t="str">
        <f aca="false">PROPER(TRIM(raw_data!A:A))</f>
        <v>Watercolour Gold Foil Textured Print Pillow Cover</v>
      </c>
      <c r="B73" s="8" t="n">
        <f aca="false">IFERROR(VALUE(TRIM(SUBSTITUTE(LOWER(raw_data!B47), "ksh", ""))), "")</f>
        <v>999</v>
      </c>
      <c r="C73" s="8" t="n">
        <f aca="false">IFERROR(VALUE(TRIM(SUBSTITUTE(LOWER(raw_data!C47), "ksh", ""))), "")</f>
        <v>2000</v>
      </c>
      <c r="D73" s="21" t="n">
        <f aca="false">VALUE(TRIM(raw_data!D47))</f>
        <v>0.5</v>
      </c>
      <c r="E73" s="10" t="str">
        <f aca="false">IF(ISBLANK(raw_data!E47),"",ABS(TRIM(raw_data!E47)))</f>
        <v/>
      </c>
      <c r="F73" s="11" t="str">
        <f aca="false">IF(ISBLANK(raw_data!F47),"",VALUE(LEFT(raw_data!F47,FIND(" ", raw_data!F47,1))))</f>
        <v/>
      </c>
      <c r="G73" s="22" t="n">
        <f aca="false">IFERROR(ROUND(D73-((C73-B73)/C73),4), "")</f>
        <v>-0.0005</v>
      </c>
      <c r="H73" s="2" t="str">
        <f aca="false">=IF(OR(D73="", C73=""), "",IF(C73 &lt; B73, "Check prices", "OK"))</f>
        <v>OK</v>
      </c>
      <c r="I73" s="7" t="str">
        <f aca="false">IF(F73="","",IF(OR(F73&lt;0,F73&gt;5),"EVALUATE","OK"))</f>
        <v/>
      </c>
      <c r="J73" s="23" t="str">
        <f aca="false">IF(D73="","",IF(OR(D73&lt;0,D73&gt;5),"EVALUATE","OK"))</f>
        <v>OK</v>
      </c>
      <c r="K73" s="8" t="n">
        <f aca="false">IFERROR(C73-B73,"")</f>
        <v>1001</v>
      </c>
      <c r="L73" s="7" t="str">
        <f aca="false">IF(ISBLANK(F73), "MISSING", IF(F73&lt;3, "POOR", IF(F73&gt;4.5, "EXCELLENT", IF(AND(F73&gt;=3, F73&lt;=4), "AVERAGE", "UN-CATEGORISED"))))</f>
        <v>EXCELLENT</v>
      </c>
      <c r="M73" s="7" t="str">
        <f aca="false">IF(L73="UN-CATEGORISED", "AVERAGE", L73)</f>
        <v>EXCELLENT</v>
      </c>
    </row>
    <row r="74" customFormat="false" ht="13.2" hidden="false" customHeight="false" outlineLevel="0" collapsed="false">
      <c r="A74" s="7" t="str">
        <f aca="false">PROPER(TRIM(raw_data!A:A))</f>
        <v>Wrought Iron Bathroom Shelf Wall Mounted Free Punch Toilet Rack</v>
      </c>
      <c r="B74" s="8" t="n">
        <f aca="false">IFERROR(VALUE(TRIM(SUBSTITUTE(LOWER(raw_data!B100), "ksh", ""))), "")</f>
        <v>1526</v>
      </c>
      <c r="C74" s="8" t="n">
        <f aca="false">IFERROR(VALUE(TRIM(SUBSTITUTE(LOWER(raw_data!C100), "ksh", ""))), "")</f>
        <v>1660</v>
      </c>
      <c r="D74" s="21" t="n">
        <f aca="false">VALUE(TRIM(raw_data!D100))</f>
        <v>0.08</v>
      </c>
      <c r="E74" s="10" t="str">
        <f aca="false">IF(ISBLANK(raw_data!E100),"",ABS(TRIM(raw_data!E100)))</f>
        <v/>
      </c>
      <c r="F74" s="11" t="str">
        <f aca="false">IF(ISBLANK(raw_data!F100),"",VALUE(LEFT(raw_data!F100,FIND(" ", raw_data!F100,1))))</f>
        <v/>
      </c>
      <c r="G74" s="22" t="n">
        <f aca="false">IFERROR(ROUND(D74-((C74-B74)/C74),4), "")</f>
        <v>-0.0007</v>
      </c>
      <c r="H74" s="2" t="str">
        <f aca="false">=IF(OR(D74="", C74=""), "",IF(C74 &lt; B74, "Check prices", "OK"))</f>
        <v>OK</v>
      </c>
      <c r="I74" s="7" t="str">
        <f aca="false">IF(F74="","",IF(OR(F74&lt;0,F74&gt;5),"EVALUATE","OK"))</f>
        <v/>
      </c>
      <c r="J74" s="23" t="str">
        <f aca="false">IF(D74="","",IF(OR(D74&lt;0,D74&gt;5),"EVALUATE","OK"))</f>
        <v>OK</v>
      </c>
      <c r="K74" s="8" t="n">
        <f aca="false">IFERROR(C74-B74,"")</f>
        <v>134</v>
      </c>
      <c r="L74" s="7" t="str">
        <f aca="false">IF(ISBLANK(F74), "MISSING", IF(F74&lt;3, "POOR", IF(F74&gt;4.5, "EXCELLENT", IF(AND(F74&gt;=3, F74&lt;=4), "AVERAGE", "UN-CATEGORISED"))))</f>
        <v>EXCELLENT</v>
      </c>
      <c r="M74" s="7" t="str">
        <f aca="false">IF(L74="UN-CATEGORISED", "AVERAGE", L74)</f>
        <v>EXCELLENT</v>
      </c>
    </row>
    <row r="75" customFormat="false" ht="13.2" hidden="false" customHeight="false" outlineLevel="0" collapsed="false">
      <c r="A75" s="7" t="str">
        <f aca="false">PROPER(TRIM(raw_data!A:A))</f>
        <v>7-Piece Set Of Storage Bags, Travel Storage Bags, Shoe Bags</v>
      </c>
      <c r="B75" s="8" t="n">
        <f aca="false">IFERROR(VALUE(TRIM(SUBSTITUTE(LOWER(raw_data!B31), "ksh", ""))), "")</f>
        <v>2200</v>
      </c>
      <c r="C75" s="8" t="n">
        <f aca="false">IFERROR(VALUE(TRIM(SUBSTITUTE(LOWER(raw_data!C31), "ksh", ""))), "")</f>
        <v>4080</v>
      </c>
      <c r="D75" s="21" t="n">
        <f aca="false">VALUE(TRIM(raw_data!D31))</f>
        <v>0.46</v>
      </c>
      <c r="E75" s="10" t="str">
        <f aca="false">IF(ISBLANK(raw_data!E31),"",ABS(TRIM(raw_data!E31)))</f>
        <v/>
      </c>
      <c r="F75" s="11" t="str">
        <f aca="false">IF(ISBLANK(raw_data!F31),"",VALUE(LEFT(raw_data!F31,FIND(" ", raw_data!F31,1))))</f>
        <v/>
      </c>
      <c r="G75" s="22" t="n">
        <f aca="false">IFERROR(ROUND(D75-((C75-B75)/C75),4), "")</f>
        <v>-0.0008</v>
      </c>
      <c r="H75" s="2" t="str">
        <f aca="false">=IF(OR(D75="", C75=""), "",IF(C75 &lt; B75, "Check prices", "OK"))</f>
        <v>OK</v>
      </c>
      <c r="I75" s="7" t="str">
        <f aca="false">IF(F75="","",IF(OR(F75&lt;0,F75&gt;5),"EVALUATE","OK"))</f>
        <v/>
      </c>
      <c r="J75" s="23" t="str">
        <f aca="false">IF(D75="","",IF(OR(D75&lt;0,D75&gt;5),"EVALUATE","OK"))</f>
        <v>OK</v>
      </c>
      <c r="K75" s="8" t="n">
        <f aca="false">IFERROR(C75-B75,"")</f>
        <v>1880</v>
      </c>
      <c r="L75" s="7" t="str">
        <f aca="false">IF(ISBLANK(F75), "MISSING", IF(F75&lt;3, "POOR", IF(F75&gt;4.5, "EXCELLENT", IF(AND(F75&gt;=3, F75&lt;=4), "AVERAGE", "UN-CATEGORISED"))))</f>
        <v>EXCELLENT</v>
      </c>
      <c r="M75" s="7" t="str">
        <f aca="false">IF(L75="UN-CATEGORISED", "AVERAGE", L75)</f>
        <v>EXCELLENT</v>
      </c>
    </row>
    <row r="76" customFormat="false" ht="13.2" hidden="false" customHeight="false" outlineLevel="0" collapsed="false">
      <c r="A76" s="7" t="str">
        <f aca="false">PROPER(TRIM(raw_data!A:A))</f>
        <v>Electric Led Uv Mosquito Killer Lamp, Outdoor/Indoor Fly Killer Trap Light -Usb</v>
      </c>
      <c r="B76" s="8" t="n">
        <f aca="false">IFERROR(VALUE(TRIM(SUBSTITUTE(LOWER(raw_data!B27), "ksh", ""))), "")</f>
        <v>420</v>
      </c>
      <c r="C76" s="8" t="n">
        <f aca="false">IFERROR(VALUE(TRIM(SUBSTITUTE(LOWER(raw_data!C27), "ksh", ""))), "")</f>
        <v>647</v>
      </c>
      <c r="D76" s="21" t="n">
        <f aca="false">VALUE(TRIM(raw_data!D27))</f>
        <v>0.35</v>
      </c>
      <c r="E76" s="10" t="n">
        <f aca="false">IF(ISBLANK(raw_data!E27),"",ABS(TRIM(raw_data!E27)))</f>
        <v>49</v>
      </c>
      <c r="F76" s="11" t="n">
        <f aca="false">IF(ISBLANK(raw_data!F27),"",VALUE(LEFT(raw_data!F27,FIND(" ", raw_data!F27,1))))</f>
        <v>4.6</v>
      </c>
      <c r="G76" s="22" t="n">
        <f aca="false">IFERROR(ROUND(D76-((C76-B76)/C76),4), "")</f>
        <v>-0.0009</v>
      </c>
      <c r="H76" s="2" t="str">
        <f aca="false">=IF(OR(D76="", C76=""), "",IF(C76 &lt; B76, "Check prices", "OK"))</f>
        <v>OK</v>
      </c>
      <c r="I76" s="7" t="str">
        <f aca="false">IF(F76="","",IF(OR(F76&lt;0,F76&gt;5),"EVALUATE","OK"))</f>
        <v>OK</v>
      </c>
      <c r="J76" s="23" t="str">
        <f aca="false">IF(D76="","",IF(OR(D76&lt;0,D76&gt;5),"EVALUATE","OK"))</f>
        <v>OK</v>
      </c>
      <c r="K76" s="8" t="n">
        <f aca="false">IFERROR(C76-B76,"")</f>
        <v>227</v>
      </c>
      <c r="L76" s="7" t="str">
        <f aca="false">IF(ISBLANK(F76), "MISSING", IF(F76&lt;3, "POOR", IF(F76&gt;4.5, "EXCELLENT", IF(AND(F76&gt;=3, F76&lt;=4), "AVERAGE", "UN-CATEGORISED"))))</f>
        <v>EXCELLENT</v>
      </c>
      <c r="M76" s="7" t="str">
        <f aca="false">IF(L76="UN-CATEGORISED", "AVERAGE", L76)</f>
        <v>EXCELLENT</v>
      </c>
    </row>
    <row r="77" customFormat="false" ht="13.2" hidden="false" customHeight="false" outlineLevel="0" collapsed="false">
      <c r="A77" s="7" t="str">
        <f aca="false">PROPER(TRIM(raw_data!A:A))</f>
        <v>2Pcs/Lot Solar Led Outdoor Intelligent Light Controlled Wall Lamp</v>
      </c>
      <c r="B77" s="8" t="n">
        <f aca="false">IFERROR(VALUE(TRIM(SUBSTITUTE(LOWER(raw_data!B97), "ksh", ""))), "")</f>
        <v>899</v>
      </c>
      <c r="C77" s="8" t="n">
        <f aca="false">IFERROR(VALUE(TRIM(SUBSTITUTE(LOWER(raw_data!C97), "ksh", ""))), "")</f>
        <v>1699</v>
      </c>
      <c r="D77" s="21" t="n">
        <f aca="false">VALUE(TRIM(raw_data!D97))</f>
        <v>0.47</v>
      </c>
      <c r="E77" s="10" t="str">
        <f aca="false">IF(ISBLANK(raw_data!E97),"",ABS(TRIM(raw_data!E97)))</f>
        <v/>
      </c>
      <c r="F77" s="11" t="str">
        <f aca="false">IF(ISBLANK(raw_data!F97),"",VALUE(LEFT(raw_data!F97,FIND(" ", raw_data!F97,1))))</f>
        <v/>
      </c>
      <c r="G77" s="22" t="n">
        <f aca="false">IFERROR(ROUND(D77-((C77-B77)/C77),4), "")</f>
        <v>-0.0009</v>
      </c>
      <c r="H77" s="2" t="str">
        <f aca="false">=IF(OR(D77="", C77=""), "",IF(C77 &lt; B77, "Check prices", "OK"))</f>
        <v>OK</v>
      </c>
      <c r="I77" s="7" t="str">
        <f aca="false">IF(F77="","",IF(OR(F77&lt;0,F77&gt;5),"EVALUATE","OK"))</f>
        <v/>
      </c>
      <c r="J77" s="23" t="str">
        <f aca="false">IF(D77="","",IF(OR(D77&lt;0,D77&gt;5),"EVALUATE","OK"))</f>
        <v>OK</v>
      </c>
      <c r="K77" s="8" t="n">
        <f aca="false">IFERROR(C77-B77,"")</f>
        <v>800</v>
      </c>
      <c r="L77" s="7" t="str">
        <f aca="false">IF(ISBLANK(F77), "MISSING", IF(F77&lt;3, "POOR", IF(F77&gt;4.5, "EXCELLENT", IF(AND(F77&gt;=3, F77&lt;=4), "AVERAGE", "UN-CATEGORISED"))))</f>
        <v>EXCELLENT</v>
      </c>
      <c r="M77" s="7" t="str">
        <f aca="false">IF(L77="UN-CATEGORISED", "AVERAGE", L77)</f>
        <v>EXCELLENT</v>
      </c>
    </row>
    <row r="78" customFormat="false" ht="13.2" hidden="false" customHeight="false" outlineLevel="0" collapsed="false">
      <c r="A78" s="7" t="str">
        <f aca="false">PROPER(TRIM(raw_data!A:A))</f>
        <v>3Pcs Rotary Scraper Thermomix For Kitchen</v>
      </c>
      <c r="B78" s="8" t="n">
        <f aca="false">IFERROR(VALUE(TRIM(SUBSTITUTE(LOWER(raw_data!B54), "ksh", ""))), "")</f>
        <v>299</v>
      </c>
      <c r="C78" s="8" t="n">
        <f aca="false">IFERROR(VALUE(TRIM(SUBSTITUTE(LOWER(raw_data!C54), "ksh", ""))), "")</f>
        <v>384</v>
      </c>
      <c r="D78" s="21" t="n">
        <f aca="false">VALUE(TRIM(raw_data!D54))</f>
        <v>0.22</v>
      </c>
      <c r="E78" s="10" t="str">
        <f aca="false">IF(ISBLANK(raw_data!E54),"",ABS(TRIM(raw_data!E54)))</f>
        <v/>
      </c>
      <c r="F78" s="11" t="str">
        <f aca="false">IF(ISBLANK(raw_data!F54),"",VALUE(LEFT(raw_data!F54,FIND(" ", raw_data!F54,1))))</f>
        <v/>
      </c>
      <c r="G78" s="22" t="n">
        <f aca="false">IFERROR(ROUND(D78-((C78-B78)/C78),4), "")</f>
        <v>-0.0014</v>
      </c>
      <c r="H78" s="2" t="str">
        <f aca="false">=IF(OR(D78="", C78=""), "",IF(C78 &lt; B78, "Check prices", "OK"))</f>
        <v>OK</v>
      </c>
      <c r="I78" s="7" t="str">
        <f aca="false">IF(F78="","",IF(OR(F78&lt;0,F78&gt;5),"EVALUATE","OK"))</f>
        <v/>
      </c>
      <c r="J78" s="23" t="str">
        <f aca="false">IF(D78="","",IF(OR(D78&lt;0,D78&gt;5),"EVALUATE","OK"))</f>
        <v>OK</v>
      </c>
      <c r="K78" s="8" t="n">
        <f aca="false">IFERROR(C78-B78,"")</f>
        <v>85</v>
      </c>
      <c r="L78" s="7" t="str">
        <f aca="false">IF(ISBLANK(F78), "MISSING", IF(F78&lt;3, "POOR", IF(F78&gt;4.5, "EXCELLENT", IF(AND(F78&gt;=3, F78&lt;=4), "AVERAGE", "UN-CATEGORISED"))))</f>
        <v>EXCELLENT</v>
      </c>
      <c r="M78" s="7" t="str">
        <f aca="false">IF(L78="UN-CATEGORISED", "AVERAGE", L78)</f>
        <v>EXCELLENT</v>
      </c>
    </row>
    <row r="79" customFormat="false" ht="13.2" hidden="false" customHeight="false" outlineLevel="0" collapsed="false">
      <c r="A79" s="7" t="str">
        <f aca="false">PROPER(TRIM(raw_data!A:A))</f>
        <v>Cushion Silicone Butt Cushion Summer Ice Cushion Honeycomb Gel Cushion</v>
      </c>
      <c r="B79" s="8" t="n">
        <f aca="false">IFERROR(VALUE(TRIM(SUBSTITUTE(LOWER(raw_data!B103), "ksh", ""))), "")</f>
        <v>3546</v>
      </c>
      <c r="C79" s="8" t="n">
        <f aca="false">IFERROR(VALUE(TRIM(SUBSTITUTE(LOWER(raw_data!C103), "ksh", ""))), "")</f>
        <v>3699</v>
      </c>
      <c r="D79" s="21" t="n">
        <f aca="false">VALUE(TRIM(raw_data!D103))</f>
        <v>0.04</v>
      </c>
      <c r="E79" s="10" t="str">
        <f aca="false">IF(ISBLANK(raw_data!E103),"",ABS(TRIM(raw_data!E103)))</f>
        <v/>
      </c>
      <c r="F79" s="11" t="str">
        <f aca="false">IF(ISBLANK(raw_data!F103),"",VALUE(LEFT(raw_data!F103,FIND(" ", raw_data!F103,1))))</f>
        <v/>
      </c>
      <c r="G79" s="22" t="n">
        <f aca="false">IFERROR(ROUND(D79-((C79-B79)/C79),4), "")</f>
        <v>-0.0014</v>
      </c>
      <c r="H79" s="2" t="str">
        <f aca="false">=IF(OR(D79="", C79=""), "",IF(C79 &lt; B79, "Check prices", "OK"))</f>
        <v>OK</v>
      </c>
      <c r="I79" s="7" t="str">
        <f aca="false">IF(F79="","",IF(OR(F79&lt;0,F79&gt;5),"EVALUATE","OK"))</f>
        <v/>
      </c>
      <c r="J79" s="23" t="str">
        <f aca="false">IF(D79="","",IF(OR(D79&lt;0,D79&gt;5),"EVALUATE","OK"))</f>
        <v>OK</v>
      </c>
      <c r="K79" s="8" t="n">
        <f aca="false">IFERROR(C79-B79,"")</f>
        <v>153</v>
      </c>
      <c r="L79" s="7" t="str">
        <f aca="false">IF(ISBLANK(F79), "MISSING", IF(F79&lt;3, "POOR", IF(F79&gt;4.5, "EXCELLENT", IF(AND(F79&gt;=3, F79&lt;=4), "AVERAGE", "UN-CATEGORISED"))))</f>
        <v>EXCELLENT</v>
      </c>
      <c r="M79" s="7" t="str">
        <f aca="false">IF(L79="UN-CATEGORISED", "AVERAGE", L79)</f>
        <v>EXCELLENT</v>
      </c>
    </row>
    <row r="80" customFormat="false" ht="13.2" hidden="false" customHeight="false" outlineLevel="0" collapsed="false">
      <c r="A80" s="7" t="str">
        <f aca="false">PROPER(TRIM(raw_data!A:A))</f>
        <v>7Pcs Silicone Thumb Knife Finger Protector Vegetable Harvesting Knife</v>
      </c>
      <c r="B80" s="8" t="n">
        <f aca="false">IFERROR(VALUE(TRIM(SUBSTITUTE(LOWER(raw_data!B6), "ksh", ""))), "")</f>
        <v>1740</v>
      </c>
      <c r="C80" s="8" t="n">
        <f aca="false">IFERROR(VALUE(TRIM(SUBSTITUTE(LOWER(raw_data!C6), "ksh", ""))), "")</f>
        <v>2356</v>
      </c>
      <c r="D80" s="21" t="n">
        <f aca="false">VALUE(TRIM(raw_data!D6))</f>
        <v>0.26</v>
      </c>
      <c r="E80" s="10" t="n">
        <f aca="false">IF(ISBLANK(raw_data!E6),"",ABS(TRIM(raw_data!E6)))</f>
        <v>5</v>
      </c>
      <c r="F80" s="11" t="n">
        <f aca="false">IF(ISBLANK(raw_data!F6),"",VALUE(LEFT(raw_data!F6,FIND(" ", raw_data!F6,1))))</f>
        <v>4.8</v>
      </c>
      <c r="G80" s="22" t="n">
        <f aca="false">IFERROR(ROUND(D80-((C80-B80)/C80),4), "")</f>
        <v>-0.0015</v>
      </c>
      <c r="H80" s="2" t="str">
        <f aca="false">=IF(OR(D80="", C80=""), "",IF(C80 &lt; B80, "Check prices", "OK"))</f>
        <v>OK</v>
      </c>
      <c r="I80" s="7" t="str">
        <f aca="false">IF(F80="","",IF(OR(F80&lt;0,F80&gt;5),"EVALUATE","OK"))</f>
        <v>OK</v>
      </c>
      <c r="J80" s="23" t="str">
        <f aca="false">IF(D80="","",IF(OR(D80&lt;0,D80&gt;5),"EVALUATE","OK"))</f>
        <v>OK</v>
      </c>
      <c r="K80" s="8" t="n">
        <f aca="false">IFERROR(C80-B80,"")</f>
        <v>616</v>
      </c>
      <c r="L80" s="7" t="str">
        <f aca="false">IF(ISBLANK(F80), "MISSING", IF(F80&lt;3, "POOR", IF(F80&gt;4.5, "EXCELLENT", IF(AND(F80&gt;=3, F80&lt;=4), "AVERAGE", "UN-CATEGORISED"))))</f>
        <v>EXCELLENT</v>
      </c>
      <c r="M80" s="7" t="str">
        <f aca="false">IF(L80="UN-CATEGORISED", "AVERAGE", L80)</f>
        <v>EXCELLENT</v>
      </c>
    </row>
    <row r="81" customFormat="false" ht="13.2" hidden="false" customHeight="false" outlineLevel="0" collapsed="false">
      <c r="A81" s="7" t="str">
        <f aca="false">PROPER(TRIM(raw_data!A:A))</f>
        <v>Memory Foam Neck Pillow Cover, With Pillow Core - 50*30Cm</v>
      </c>
      <c r="B81" s="8" t="n">
        <f aca="false">IFERROR(VALUE(TRIM(SUBSTITUTE(LOWER(raw_data!B29), "ksh", ""))), "")</f>
        <v>1350</v>
      </c>
      <c r="C81" s="8" t="n">
        <f aca="false">IFERROR(VALUE(TRIM(SUBSTITUTE(LOWER(raw_data!C29), "ksh", ""))), "")</f>
        <v>1990</v>
      </c>
      <c r="D81" s="21" t="n">
        <f aca="false">VALUE(TRIM(raw_data!D29))</f>
        <v>0.32</v>
      </c>
      <c r="E81" s="10" t="n">
        <f aca="false">IF(ISBLANK(raw_data!E29),"",ABS(TRIM(raw_data!E29)))</f>
        <v>13</v>
      </c>
      <c r="F81" s="11" t="n">
        <f aca="false">IF(ISBLANK(raw_data!F29),"",VALUE(LEFT(raw_data!F29,FIND(" ", raw_data!F29,1))))</f>
        <v>3.8</v>
      </c>
      <c r="G81" s="22" t="n">
        <f aca="false">IFERROR(ROUND(D81-((C81-B81)/C81),4), "")</f>
        <v>-0.0016</v>
      </c>
      <c r="H81" s="2" t="str">
        <f aca="false">=IF(OR(D81="", C81=""), "",IF(C81 &lt; B81, "Check prices", "OK"))</f>
        <v>OK</v>
      </c>
      <c r="I81" s="7" t="str">
        <f aca="false">IF(F81="","",IF(OR(F81&lt;0,F81&gt;5),"EVALUATE","OK"))</f>
        <v>OK</v>
      </c>
      <c r="J81" s="23" t="str">
        <f aca="false">IF(D81="","",IF(OR(D81&lt;0,D81&gt;5),"EVALUATE","OK"))</f>
        <v>OK</v>
      </c>
      <c r="K81" s="8" t="n">
        <f aca="false">IFERROR(C81-B81,"")</f>
        <v>640</v>
      </c>
      <c r="L81" s="7" t="str">
        <f aca="false">IF(ISBLANK(F81), "MISSING", IF(F81&lt;3, "POOR", IF(F81&gt;4.5, "EXCELLENT", IF(AND(F81&gt;=3, F81&lt;=4), "AVERAGE", "UN-CATEGORISED"))))</f>
        <v>AVERAGE</v>
      </c>
      <c r="M81" s="7" t="str">
        <f aca="false">IF(L81="UN-CATEGORISED", "AVERAGE", L81)</f>
        <v>AVERAGE</v>
      </c>
    </row>
    <row r="82" customFormat="false" ht="13.2" hidden="false" customHeight="false" outlineLevel="0" collapsed="false">
      <c r="A82" s="7" t="str">
        <f aca="false">PROPER(TRIM(raw_data!A:A))</f>
        <v>Bedroom Simple Floor Hanging Clothes Rack Single Pole Hat Rack - White</v>
      </c>
      <c r="B82" s="8" t="n">
        <f aca="false">IFERROR(VALUE(TRIM(SUBSTITUTE(LOWER(raw_data!B52), "ksh", ""))), "")</f>
        <v>299</v>
      </c>
      <c r="C82" s="8" t="n">
        <f aca="false">IFERROR(VALUE(TRIM(SUBSTITUTE(LOWER(raw_data!C52), "ksh", ""))), "")</f>
        <v>600</v>
      </c>
      <c r="D82" s="21" t="n">
        <f aca="false">VALUE(TRIM(raw_data!D52))</f>
        <v>0.5</v>
      </c>
      <c r="E82" s="10" t="str">
        <f aca="false">IF(ISBLANK(raw_data!E52),"",ABS(TRIM(raw_data!E52)))</f>
        <v/>
      </c>
      <c r="F82" s="11" t="str">
        <f aca="false">IF(ISBLANK(raw_data!F52),"",VALUE(LEFT(raw_data!F52,FIND(" ", raw_data!F52,1))))</f>
        <v/>
      </c>
      <c r="G82" s="22" t="n">
        <f aca="false">IFERROR(ROUND(D82-((C82-B82)/C82),4), "")</f>
        <v>-0.0017</v>
      </c>
      <c r="H82" s="2" t="str">
        <f aca="false">=IF(OR(D82="", C82=""), "",IF(C82 &lt; B82, "Check prices", "OK"))</f>
        <v>OK</v>
      </c>
      <c r="I82" s="7" t="str">
        <f aca="false">IF(F82="","",IF(OR(F82&lt;0,F82&gt;5),"EVALUATE","OK"))</f>
        <v/>
      </c>
      <c r="J82" s="23" t="str">
        <f aca="false">IF(D82="","",IF(OR(D82&lt;0,D82&gt;5),"EVALUATE","OK"))</f>
        <v>OK</v>
      </c>
      <c r="K82" s="8" t="n">
        <f aca="false">IFERROR(C82-B82,"")</f>
        <v>301</v>
      </c>
      <c r="L82" s="7" t="str">
        <f aca="false">IF(ISBLANK(F82), "MISSING", IF(F82&lt;3, "POOR", IF(F82&gt;4.5, "EXCELLENT", IF(AND(F82&gt;=3, F82&lt;=4), "AVERAGE", "UN-CATEGORISED"))))</f>
        <v>EXCELLENT</v>
      </c>
      <c r="M82" s="7" t="str">
        <f aca="false">IF(L82="UN-CATEGORISED", "AVERAGE", L82)</f>
        <v>EXCELLENT</v>
      </c>
    </row>
    <row r="83" customFormat="false" ht="13.2" hidden="false" customHeight="false" outlineLevel="0" collapsed="false">
      <c r="A83" s="7" t="str">
        <f aca="false">PROPER(TRIM(raw_data!A:A))</f>
        <v>5M Waterproof Spherical Led String Lights Outdoor Ball Chain Lights Party Lighting Decoration Adjustable</v>
      </c>
      <c r="B83" s="8" t="n">
        <f aca="false">IFERROR(VALUE(TRIM(SUBSTITUTE(LOWER(raw_data!B28), "ksh", ""))), "")</f>
        <v>2880</v>
      </c>
      <c r="C83" s="8" t="n">
        <f aca="false">IFERROR(VALUE(TRIM(SUBSTITUTE(LOWER(raw_data!C28), "ksh", ""))), "")</f>
        <v>3520</v>
      </c>
      <c r="D83" s="21" t="n">
        <f aca="false">VALUE(TRIM(raw_data!D28))</f>
        <v>0.18</v>
      </c>
      <c r="E83" s="10" t="n">
        <f aca="false">IF(ISBLANK(raw_data!E28),"",ABS(TRIM(raw_data!E28)))</f>
        <v>12</v>
      </c>
      <c r="F83" s="11" t="n">
        <f aca="false">IF(ISBLANK(raw_data!F28),"",VALUE(LEFT(raw_data!F28,FIND(" ", raw_data!F28,1))))</f>
        <v>3.8</v>
      </c>
      <c r="G83" s="22" t="n">
        <f aca="false">IFERROR(ROUND(D83-((C83-B83)/C83),4), "")</f>
        <v>-0.0018</v>
      </c>
      <c r="H83" s="2" t="str">
        <f aca="false">=IF(OR(D83="", C83=""), "",IF(C83 &lt; B83, "Check prices", "OK"))</f>
        <v>OK</v>
      </c>
      <c r="I83" s="7" t="str">
        <f aca="false">IF(F83="","",IF(OR(F83&lt;0,F83&gt;5),"EVALUATE","OK"))</f>
        <v>OK</v>
      </c>
      <c r="J83" s="23" t="str">
        <f aca="false">IF(D83="","",IF(OR(D83&lt;0,D83&gt;5),"EVALUATE","OK"))</f>
        <v>OK</v>
      </c>
      <c r="K83" s="8" t="n">
        <f aca="false">IFERROR(C83-B83,"")</f>
        <v>640</v>
      </c>
      <c r="L83" s="7" t="str">
        <f aca="false">IF(ISBLANK(F83), "MISSING", IF(F83&lt;3, "POOR", IF(F83&gt;4.5, "EXCELLENT", IF(AND(F83&gt;=3, F83&lt;=4), "AVERAGE", "UN-CATEGORISED"))))</f>
        <v>AVERAGE</v>
      </c>
      <c r="M83" s="7" t="str">
        <f aca="false">IF(L83="UN-CATEGORISED", "AVERAGE", L83)</f>
        <v>AVERAGE</v>
      </c>
    </row>
    <row r="84" customFormat="false" ht="13.2" hidden="false" customHeight="false" outlineLevel="0" collapsed="false">
      <c r="A84" s="7" t="str">
        <f aca="false">PROPER(TRIM(raw_data!A:A))</f>
        <v>2 Pairs Cowhide Split Leather Work Gloves.32Â Or Above Welding Gloves</v>
      </c>
      <c r="B84" s="8" t="n">
        <f aca="false">IFERROR(VALUE(TRIM(SUBSTITUTE(LOWER(raw_data!B116), "ksh", ""))), "")</f>
        <v>169</v>
      </c>
      <c r="C84" s="8" t="n">
        <f aca="false">IFERROR(VALUE(TRIM(SUBSTITUTE(LOWER(raw_data!C116), "ksh", ""))), "")</f>
        <v>320</v>
      </c>
      <c r="D84" s="21" t="n">
        <f aca="false">VALUE(TRIM(raw_data!D116))</f>
        <v>0.47</v>
      </c>
      <c r="E84" s="10" t="str">
        <f aca="false">IF(ISBLANK(raw_data!E116),"",ABS(TRIM(raw_data!E116)))</f>
        <v/>
      </c>
      <c r="F84" s="11" t="str">
        <f aca="false">IF(ISBLANK(raw_data!F116),"",VALUE(LEFT(raw_data!F116,FIND(" ", raw_data!F116,1))))</f>
        <v/>
      </c>
      <c r="G84" s="22" t="n">
        <f aca="false">IFERROR(ROUND(D84-((C84-B84)/C84),4), "")</f>
        <v>-0.0019</v>
      </c>
      <c r="H84" s="2" t="str">
        <f aca="false">=IF(OR(D84="", C84=""), "",IF(C84 &lt; B84, "Check prices", "OK"))</f>
        <v>OK</v>
      </c>
      <c r="I84" s="7" t="str">
        <f aca="false">IF(F84="","",IF(OR(F84&lt;0,F84&gt;5),"EVALUATE","OK"))</f>
        <v/>
      </c>
      <c r="J84" s="23" t="str">
        <f aca="false">IF(D84="","",IF(OR(D84&lt;0,D84&gt;5),"EVALUATE","OK"))</f>
        <v>OK</v>
      </c>
      <c r="K84" s="8" t="n">
        <f aca="false">IFERROR(C84-B84,"")</f>
        <v>151</v>
      </c>
      <c r="L84" s="7" t="str">
        <f aca="false">IF(ISBLANK(F84), "MISSING", IF(F84&lt;3, "POOR", IF(F84&gt;4.5, "EXCELLENT", IF(AND(F84&gt;=3, F84&lt;=4), "AVERAGE", "UN-CATEGORISED"))))</f>
        <v>EXCELLENT</v>
      </c>
      <c r="M84" s="7" t="str">
        <f aca="false">IF(L84="UN-CATEGORISED", "AVERAGE", L84)</f>
        <v>EXCELLENT</v>
      </c>
    </row>
    <row r="85" customFormat="false" ht="13.2" hidden="false" customHeight="false" outlineLevel="0" collapsed="false">
      <c r="A85" s="7" t="str">
        <f aca="false">PROPER(TRIM(raw_data!A:A))</f>
        <v>Household Pineapple Peeler Peeler</v>
      </c>
      <c r="B85" s="8" t="n">
        <f aca="false">IFERROR(VALUE(TRIM(SUBSTITUTE(LOWER(raw_data!B62), "ksh", ""))), "")</f>
        <v>2170</v>
      </c>
      <c r="C85" s="8" t="n">
        <f aca="false">IFERROR(VALUE(TRIM(SUBSTITUTE(LOWER(raw_data!C62), "ksh", ""))), "")</f>
        <v>2500</v>
      </c>
      <c r="D85" s="21" t="n">
        <f aca="false">VALUE(TRIM(raw_data!D62))</f>
        <v>0.13</v>
      </c>
      <c r="E85" s="10" t="n">
        <f aca="false">IF(ISBLANK(raw_data!E62),"",ABS(TRIM(raw_data!E62)))</f>
        <v>6</v>
      </c>
      <c r="F85" s="11" t="n">
        <f aca="false">IF(ISBLANK(raw_data!F62),"",VALUE(LEFT(raw_data!F62,FIND(" ", raw_data!F62,1))))</f>
        <v>2.5</v>
      </c>
      <c r="G85" s="22" t="n">
        <f aca="false">IFERROR(ROUND(D85-((C85-B85)/C85),4), "")</f>
        <v>-0.002</v>
      </c>
      <c r="H85" s="2" t="str">
        <f aca="false">=IF(OR(D85="", C85=""), "",IF(C85 &lt; B85, "Check prices", "OK"))</f>
        <v>OK</v>
      </c>
      <c r="I85" s="7" t="str">
        <f aca="false">IF(F85="","",IF(OR(F85&lt;0,F85&gt;5),"EVALUATE","OK"))</f>
        <v>OK</v>
      </c>
      <c r="J85" s="23" t="str">
        <f aca="false">IF(D85="","",IF(OR(D85&lt;0,D85&gt;5),"EVALUATE","OK"))</f>
        <v>OK</v>
      </c>
      <c r="K85" s="8" t="n">
        <f aca="false">IFERROR(C85-B85,"")</f>
        <v>330</v>
      </c>
      <c r="L85" s="7" t="str">
        <f aca="false">IF(ISBLANK(F85), "MISSING", IF(F85&lt;3, "POOR", IF(F85&gt;4.5, "EXCELLENT", IF(AND(F85&gt;=3, F85&lt;=4), "AVERAGE", "UN-CATEGORISED"))))</f>
        <v>POOR</v>
      </c>
      <c r="M85" s="7" t="str">
        <f aca="false">IF(L85="UN-CATEGORISED", "AVERAGE", L85)</f>
        <v>POOR</v>
      </c>
    </row>
    <row r="86" customFormat="false" ht="13.2" hidden="false" customHeight="false" outlineLevel="0" collapsed="false">
      <c r="A86" s="7" t="str">
        <f aca="false">PROPER(TRIM(raw_data!A:A))</f>
        <v>Balloon Insert, Birthday Party Balloon Set, Pu Leather</v>
      </c>
      <c r="B86" s="8" t="n">
        <f aca="false">IFERROR(VALUE(TRIM(SUBSTITUTE(LOWER(raw_data!B66), "ksh", ""))), "")</f>
        <v>325</v>
      </c>
      <c r="C86" s="8" t="n">
        <f aca="false">IFERROR(VALUE(TRIM(SUBSTITUTE(LOWER(raw_data!C66), "ksh", ""))), "")</f>
        <v>680</v>
      </c>
      <c r="D86" s="21" t="n">
        <f aca="false">VALUE(TRIM(raw_data!D66))</f>
        <v>0.52</v>
      </c>
      <c r="E86" s="10" t="n">
        <f aca="false">IF(ISBLANK(raw_data!E66),"",ABS(TRIM(raw_data!E66)))</f>
        <v>15</v>
      </c>
      <c r="F86" s="11" t="n">
        <f aca="false">IF(ISBLANK(raw_data!F66),"",VALUE(LEFT(raw_data!F66,FIND(" ", raw_data!F66,1))))</f>
        <v>2.7</v>
      </c>
      <c r="G86" s="22" t="n">
        <f aca="false">IFERROR(ROUND(D86-((C86-B86)/C86),4), "")</f>
        <v>-0.0021</v>
      </c>
      <c r="H86" s="2" t="str">
        <f aca="false">=IF(OR(D86="", C86=""), "",IF(C86 &lt; B86, "Check prices", "OK"))</f>
        <v>OK</v>
      </c>
      <c r="I86" s="7" t="str">
        <f aca="false">IF(F86="","",IF(OR(F86&lt;0,F86&gt;5),"EVALUATE","OK"))</f>
        <v>OK</v>
      </c>
      <c r="J86" s="23" t="str">
        <f aca="false">IF(D86="","",IF(OR(D86&lt;0,D86&gt;5),"EVALUATE","OK"))</f>
        <v>OK</v>
      </c>
      <c r="K86" s="8" t="n">
        <f aca="false">IFERROR(C86-B86,"")</f>
        <v>355</v>
      </c>
      <c r="L86" s="7" t="str">
        <f aca="false">IF(ISBLANK(F86), "MISSING", IF(F86&lt;3, "POOR", IF(F86&gt;4.5, "EXCELLENT", IF(AND(F86&gt;=3, F86&lt;=4), "AVERAGE", "UN-CATEGORISED"))))</f>
        <v>POOR</v>
      </c>
      <c r="M86" s="7" t="str">
        <f aca="false">IF(L86="UN-CATEGORISED", "AVERAGE", L86)</f>
        <v>POOR</v>
      </c>
    </row>
    <row r="87" customFormat="false" ht="13.2" hidden="false" customHeight="false" outlineLevel="0" collapsed="false">
      <c r="A87" s="7" t="str">
        <f aca="false">PROPER(TRIM(raw_data!A:A))</f>
        <v>Creative Owl Shape Keychain Black</v>
      </c>
      <c r="B87" s="8" t="n">
        <f aca="false">IFERROR(VALUE(TRIM(SUBSTITUTE(LOWER(raw_data!B90), "ksh", ""))), "")</f>
        <v>799</v>
      </c>
      <c r="C87" s="8" t="n">
        <f aca="false">IFERROR(VALUE(TRIM(SUBSTITUTE(LOWER(raw_data!C90), "ksh", ""))), "")</f>
        <v>900</v>
      </c>
      <c r="D87" s="21" t="n">
        <f aca="false">VALUE(TRIM(raw_data!D90))</f>
        <v>0.11</v>
      </c>
      <c r="E87" s="10" t="str">
        <f aca="false">IF(ISBLANK(raw_data!E90),"",ABS(TRIM(raw_data!E90)))</f>
        <v/>
      </c>
      <c r="F87" s="11" t="str">
        <f aca="false">IF(ISBLANK(raw_data!F90),"",VALUE(LEFT(raw_data!F90,FIND(" ", raw_data!F90,1))))</f>
        <v/>
      </c>
      <c r="G87" s="22" t="n">
        <f aca="false">IFERROR(ROUND(D87-((C87-B87)/C87),4), "")</f>
        <v>-0.0022</v>
      </c>
      <c r="H87" s="2" t="str">
        <f aca="false">=IF(OR(D87="", C87=""), "",IF(C87 &lt; B87, "Check prices", "OK"))</f>
        <v>OK</v>
      </c>
      <c r="I87" s="7" t="str">
        <f aca="false">IF(F87="","",IF(OR(F87&lt;0,F87&gt;5),"EVALUATE","OK"))</f>
        <v/>
      </c>
      <c r="J87" s="23" t="str">
        <f aca="false">IF(D87="","",IF(OR(D87&lt;0,D87&gt;5),"EVALUATE","OK"))</f>
        <v>OK</v>
      </c>
      <c r="K87" s="8" t="n">
        <f aca="false">IFERROR(C87-B87,"")</f>
        <v>101</v>
      </c>
      <c r="L87" s="7" t="str">
        <f aca="false">IF(ISBLANK(F87), "MISSING", IF(F87&lt;3, "POOR", IF(F87&gt;4.5, "EXCELLENT", IF(AND(F87&gt;=3, F87&lt;=4), "AVERAGE", "UN-CATEGORISED"))))</f>
        <v>EXCELLENT</v>
      </c>
      <c r="M87" s="7" t="str">
        <f aca="false">IF(L87="UN-CATEGORISED", "AVERAGE", L87)</f>
        <v>EXCELLENT</v>
      </c>
    </row>
    <row r="88" customFormat="false" ht="13.2" hidden="false" customHeight="false" outlineLevel="0" collapsed="false">
      <c r="A88" s="7" t="str">
        <f aca="false">PROPER(TRIM(raw_data!A:A))</f>
        <v>Office Chair Lumbar Back Support Spine Posture Correction Pillow Car Cushion</v>
      </c>
      <c r="B88" s="8" t="n">
        <f aca="false">IFERROR(VALUE(TRIM(SUBSTITUTE(LOWER(raw_data!B33), "ksh", ""))), "")</f>
        <v>980</v>
      </c>
      <c r="C88" s="8" t="n">
        <f aca="false">IFERROR(VALUE(TRIM(SUBSTITUTE(LOWER(raw_data!C33), "ksh", ""))), "")</f>
        <v>1490</v>
      </c>
      <c r="D88" s="21" t="n">
        <f aca="false">VALUE(TRIM(raw_data!D33))</f>
        <v>0.34</v>
      </c>
      <c r="E88" s="10" t="n">
        <f aca="false">IF(ISBLANK(raw_data!E33),"",ABS(TRIM(raw_data!E33)))</f>
        <v>12</v>
      </c>
      <c r="F88" s="11" t="n">
        <f aca="false">IF(ISBLANK(raw_data!F33),"",VALUE(LEFT(raw_data!F33,FIND(" ", raw_data!F33,1))))</f>
        <v>4.7</v>
      </c>
      <c r="G88" s="22" t="n">
        <f aca="false">IFERROR(ROUND(D88-((C88-B88)/C88),4), "")</f>
        <v>-0.0023</v>
      </c>
      <c r="H88" s="2" t="str">
        <f aca="false">=IF(OR(D88="", C88=""), "",IF(C88 &lt; B88, "Check prices", "OK"))</f>
        <v>OK</v>
      </c>
      <c r="I88" s="7" t="str">
        <f aca="false">IF(F88="","",IF(OR(F88&lt;0,F88&gt;5),"EVALUATE","OK"))</f>
        <v>OK</v>
      </c>
      <c r="J88" s="23" t="str">
        <f aca="false">IF(D88="","",IF(OR(D88&lt;0,D88&gt;5),"EVALUATE","OK"))</f>
        <v>OK</v>
      </c>
      <c r="K88" s="8" t="n">
        <f aca="false">IFERROR(C88-B88,"")</f>
        <v>510</v>
      </c>
      <c r="L88" s="7" t="str">
        <f aca="false">IF(ISBLANK(F88), "MISSING", IF(F88&lt;3, "POOR", IF(F88&gt;4.5, "EXCELLENT", IF(AND(F88&gt;=3, F88&lt;=4), "AVERAGE", "UN-CATEGORISED"))))</f>
        <v>EXCELLENT</v>
      </c>
      <c r="M88" s="7" t="str">
        <f aca="false">IF(L88="UN-CATEGORISED", "AVERAGE", L88)</f>
        <v>EXCELLENT</v>
      </c>
    </row>
    <row r="89" customFormat="false" ht="13.2" hidden="false" customHeight="false" outlineLevel="0" collapsed="false">
      <c r="A89" s="7" t="str">
        <f aca="false">PROPER(TRIM(raw_data!A:A))</f>
        <v>Cartoon Car Decoration Cute Individuality For Car Home Desk</v>
      </c>
      <c r="B89" s="8" t="n">
        <f aca="false">IFERROR(VALUE(TRIM(SUBSTITUTE(LOWER(raw_data!B21), "ksh", ""))), "")</f>
        <v>998</v>
      </c>
      <c r="C89" s="8" t="n">
        <f aca="false">IFERROR(VALUE(TRIM(SUBSTITUTE(LOWER(raw_data!C21), "ksh", ""))), "")</f>
        <v>1966</v>
      </c>
      <c r="D89" s="21" t="n">
        <f aca="false">VALUE(TRIM(raw_data!D21))</f>
        <v>0.49</v>
      </c>
      <c r="E89" s="10" t="n">
        <f aca="false">IF(ISBLANK(raw_data!E21),"",ABS(TRIM(raw_data!E21)))</f>
        <v>44</v>
      </c>
      <c r="F89" s="11" t="n">
        <f aca="false">IF(ISBLANK(raw_data!F21),"",VALUE(LEFT(raw_data!F21,FIND(" ", raw_data!F21,1))))</f>
        <v>4.6</v>
      </c>
      <c r="G89" s="22" t="n">
        <f aca="false">IFERROR(ROUND(D89-((C89-B89)/C89),4), "")</f>
        <v>-0.0024</v>
      </c>
      <c r="H89" s="2" t="str">
        <f aca="false">=IF(OR(D89="", C89=""), "",IF(C89 &lt; B89, "Check prices", "OK"))</f>
        <v>OK</v>
      </c>
      <c r="I89" s="7" t="str">
        <f aca="false">IF(F89="","",IF(OR(F89&lt;0,F89&gt;5),"EVALUATE","OK"))</f>
        <v>OK</v>
      </c>
      <c r="J89" s="23" t="str">
        <f aca="false">IF(D89="","",IF(OR(D89&lt;0,D89&gt;5),"EVALUATE","OK"))</f>
        <v>OK</v>
      </c>
      <c r="K89" s="8" t="n">
        <f aca="false">IFERROR(C89-B89,"")</f>
        <v>968</v>
      </c>
      <c r="L89" s="7" t="str">
        <f aca="false">IF(ISBLANK(F89), "MISSING", IF(F89&lt;3, "POOR", IF(F89&gt;4.5, "EXCELLENT", IF(AND(F89&gt;=3, F89&lt;=4), "AVERAGE", "UN-CATEGORISED"))))</f>
        <v>EXCELLENT</v>
      </c>
      <c r="M89" s="7" t="str">
        <f aca="false">IF(L89="UN-CATEGORISED", "AVERAGE", L89)</f>
        <v>EXCELLENT</v>
      </c>
    </row>
    <row r="90" customFormat="false" ht="13.2" hidden="false" customHeight="false" outlineLevel="0" collapsed="false">
      <c r="A90" s="7" t="str">
        <f aca="false">PROPER(TRIM(raw_data!A:A))</f>
        <v>Outdoor Portable Water Bottle With Medicine Box - 600Ml - Black</v>
      </c>
      <c r="B90" s="8" t="n">
        <f aca="false">IFERROR(VALUE(TRIM(SUBSTITUTE(LOWER(raw_data!B23), "ksh", ""))), "")</f>
        <v>1860</v>
      </c>
      <c r="C90" s="8" t="n">
        <f aca="false">IFERROR(VALUE(TRIM(SUBSTITUTE(LOWER(raw_data!C23), "ksh", ""))), "")</f>
        <v>3220</v>
      </c>
      <c r="D90" s="21" t="n">
        <f aca="false">VALUE(TRIM(raw_data!D23))</f>
        <v>0.42</v>
      </c>
      <c r="E90" s="10" t="str">
        <f aca="false">IF(ISBLANK(raw_data!E23),"",ABS(TRIM(raw_data!E23)))</f>
        <v/>
      </c>
      <c r="F90" s="11" t="str">
        <f aca="false">IF(ISBLANK(raw_data!F23),"",VALUE(LEFT(raw_data!F23,FIND(" ", raw_data!F23,1))))</f>
        <v/>
      </c>
      <c r="G90" s="22" t="n">
        <f aca="false">IFERROR(ROUND(D90-((C90-B90)/C90),4), "")</f>
        <v>-0.0024</v>
      </c>
      <c r="H90" s="2" t="str">
        <f aca="false">=IF(OR(D90="", C90=""), "",IF(C90 &lt; B90, "Check prices", "OK"))</f>
        <v>OK</v>
      </c>
      <c r="I90" s="7" t="str">
        <f aca="false">IF(F90="","",IF(OR(F90&lt;0,F90&gt;5),"EVALUATE","OK"))</f>
        <v/>
      </c>
      <c r="J90" s="23" t="str">
        <f aca="false">IF(D90="","",IF(OR(D90&lt;0,D90&gt;5),"EVALUATE","OK"))</f>
        <v>OK</v>
      </c>
      <c r="K90" s="8" t="n">
        <f aca="false">IFERROR(C90-B90,"")</f>
        <v>1360</v>
      </c>
      <c r="L90" s="7" t="str">
        <f aca="false">IF(ISBLANK(F90), "MISSING", IF(F90&lt;3, "POOR", IF(F90&gt;4.5, "EXCELLENT", IF(AND(F90&gt;=3, F90&lt;=4), "AVERAGE", "UN-CATEGORISED"))))</f>
        <v>EXCELLENT</v>
      </c>
      <c r="M90" s="7" t="str">
        <f aca="false">IF(L90="UN-CATEGORISED", "AVERAGE", L90)</f>
        <v>EXCELLENT</v>
      </c>
    </row>
    <row r="91" customFormat="false" ht="13.2" hidden="false" customHeight="false" outlineLevel="0" collapsed="false">
      <c r="A91" s="7" t="str">
        <f aca="false">PROPER(TRIM(raw_data!A:A))</f>
        <v>Angle Measuring Tool Full Metal Multi Angle Measuring Tool</v>
      </c>
      <c r="B91" s="8" t="n">
        <f aca="false">IFERROR(VALUE(TRIM(SUBSTITUTE(LOWER(raw_data!B83), "ksh", ""))), "")</f>
        <v>1460</v>
      </c>
      <c r="C91" s="8" t="n">
        <f aca="false">IFERROR(VALUE(TRIM(SUBSTITUTE(LOWER(raw_data!C83), "ksh", ""))), "")</f>
        <v>2290</v>
      </c>
      <c r="D91" s="21" t="n">
        <f aca="false">VALUE(TRIM(raw_data!D83))</f>
        <v>0.36</v>
      </c>
      <c r="E91" s="10" t="str">
        <f aca="false">IF(ISBLANK(raw_data!E83),"",ABS(TRIM(raw_data!E83)))</f>
        <v/>
      </c>
      <c r="F91" s="11" t="str">
        <f aca="false">IF(ISBLANK(raw_data!F83),"",VALUE(LEFT(raw_data!F83,FIND(" ", raw_data!F83,1))))</f>
        <v/>
      </c>
      <c r="G91" s="22" t="n">
        <f aca="false">IFERROR(ROUND(D91-((C91-B91)/C91),4), "")</f>
        <v>-0.0024</v>
      </c>
      <c r="H91" s="2" t="str">
        <f aca="false">=IF(OR(D91="", C91=""), "",IF(C91 &lt; B91, "Check prices", "OK"))</f>
        <v>OK</v>
      </c>
      <c r="I91" s="7" t="str">
        <f aca="false">IF(F91="","",IF(OR(F91&lt;0,F91&gt;5),"EVALUATE","OK"))</f>
        <v/>
      </c>
      <c r="J91" s="23" t="str">
        <f aca="false">IF(D91="","",IF(OR(D91&lt;0,D91&gt;5),"EVALUATE","OK"))</f>
        <v>OK</v>
      </c>
      <c r="K91" s="8" t="n">
        <f aca="false">IFERROR(C91-B91,"")</f>
        <v>830</v>
      </c>
      <c r="L91" s="7" t="str">
        <f aca="false">IF(ISBLANK(F91), "MISSING", IF(F91&lt;3, "POOR", IF(F91&gt;4.5, "EXCELLENT", IF(AND(F91&gt;=3, F91&lt;=4), "AVERAGE", "UN-CATEGORISED"))))</f>
        <v>EXCELLENT</v>
      </c>
      <c r="M91" s="7" t="str">
        <f aca="false">IF(L91="UN-CATEGORISED", "AVERAGE", L91)</f>
        <v>EXCELLENT</v>
      </c>
    </row>
    <row r="92" customFormat="false" ht="13.2" hidden="false" customHeight="false" outlineLevel="0" collapsed="false">
      <c r="A92" s="7" t="str">
        <f aca="false">PROPER(TRIM(raw_data!A:A))</f>
        <v>Wall-Mounted Toothbrush Toothpaste Holder With Multiple Slots</v>
      </c>
      <c r="B92" s="8" t="n">
        <f aca="false">IFERROR(VALUE(TRIM(SUBSTITUTE(LOWER(raw_data!B3), "ksh", ""))), "")</f>
        <v>527</v>
      </c>
      <c r="C92" s="8" t="n">
        <f aca="false">IFERROR(VALUE(TRIM(SUBSTITUTE(LOWER(raw_data!C3), "ksh", ""))), "")</f>
        <v>999</v>
      </c>
      <c r="D92" s="21" t="n">
        <f aca="false">VALUE(TRIM(raw_data!D3))</f>
        <v>0.47</v>
      </c>
      <c r="E92" s="10" t="n">
        <f aca="false">IF(ISBLANK(raw_data!E3),"",ABS(TRIM(raw_data!E3)))</f>
        <v>14</v>
      </c>
      <c r="F92" s="11" t="n">
        <f aca="false">IF(ISBLANK(raw_data!F3),"",VALUE(LEFT(raw_data!F3,FIND(" ", raw_data!F3,1))))</f>
        <v>4.1</v>
      </c>
      <c r="G92" s="22" t="n">
        <f aca="false">IFERROR(ROUND(D92-((C92-B92)/C92),4), "")</f>
        <v>-0.0025</v>
      </c>
      <c r="H92" s="2" t="str">
        <f aca="false">=IF(OR(D92="", C92=""), "",IF(C92 &lt; B92, "Check prices", "OK"))</f>
        <v>OK</v>
      </c>
      <c r="I92" s="7" t="str">
        <f aca="false">IF(F92="","",IF(OR(F92&lt;0,F92&gt;5),"EVALUATE","OK"))</f>
        <v>OK</v>
      </c>
      <c r="J92" s="23" t="str">
        <f aca="false">IF(D92="","",IF(OR(D92&lt;0,D92&gt;5),"EVALUATE","OK"))</f>
        <v>OK</v>
      </c>
      <c r="K92" s="8" t="n">
        <f aca="false">IFERROR(C92-B92,"")</f>
        <v>472</v>
      </c>
      <c r="L92" s="7" t="str">
        <f aca="false">IF(ISBLANK(F92), "MISSING", IF(F92&lt;3, "POOR", IF(F92&gt;4.5, "EXCELLENT", IF(AND(F92&gt;=3, F92&lt;=4), "AVERAGE", "UN-CATEGORISED"))))</f>
        <v>UN-CATEGORISED</v>
      </c>
      <c r="M92" s="7" t="str">
        <f aca="false">IF(L92="UN-CATEGORISED", "AVERAGE", L92)</f>
        <v>AVERAGE</v>
      </c>
    </row>
    <row r="93" customFormat="false" ht="13.2" hidden="false" customHeight="false" outlineLevel="0" collapsed="false">
      <c r="A93" s="7" t="str">
        <f aca="false">PROPER(TRIM(raw_data!A:A))</f>
        <v>Multifunctional Hanging Storage Box Storage Bag (4 Layers)</v>
      </c>
      <c r="B93" s="8" t="n">
        <f aca="false">IFERROR(VALUE(TRIM(SUBSTITUTE(LOWER(raw_data!B111), "ksh", ""))), "")</f>
        <v>1190</v>
      </c>
      <c r="C93" s="8" t="n">
        <f aca="false">IFERROR(VALUE(TRIM(SUBSTITUTE(LOWER(raw_data!C111), "ksh", ""))), "")</f>
        <v>1810</v>
      </c>
      <c r="D93" s="21" t="n">
        <f aca="false">VALUE(TRIM(raw_data!D111))</f>
        <v>0.34</v>
      </c>
      <c r="E93" s="10" t="str">
        <f aca="false">IF(ISBLANK(raw_data!E111),"",ABS(TRIM(raw_data!E111)))</f>
        <v/>
      </c>
      <c r="F93" s="11" t="str">
        <f aca="false">IF(ISBLANK(raw_data!F111),"",VALUE(LEFT(raw_data!F111,FIND(" ", raw_data!F111,1))))</f>
        <v/>
      </c>
      <c r="G93" s="22" t="n">
        <f aca="false">IFERROR(ROUND(D93-((C93-B93)/C93),4), "")</f>
        <v>-0.0025</v>
      </c>
      <c r="H93" s="2" t="str">
        <f aca="false">=IF(OR(D93="", C93=""), "",IF(C93 &lt; B93, "Check prices", "OK"))</f>
        <v>OK</v>
      </c>
      <c r="I93" s="7" t="str">
        <f aca="false">IF(F93="","",IF(OR(F93&lt;0,F93&gt;5),"EVALUATE","OK"))</f>
        <v/>
      </c>
      <c r="J93" s="23" t="str">
        <f aca="false">IF(D93="","",IF(OR(D93&lt;0,D93&gt;5),"EVALUATE","OK"))</f>
        <v>OK</v>
      </c>
      <c r="K93" s="8" t="n">
        <f aca="false">IFERROR(C93-B93,"")</f>
        <v>620</v>
      </c>
      <c r="L93" s="7" t="str">
        <f aca="false">IF(ISBLANK(F93), "MISSING", IF(F93&lt;3, "POOR", IF(F93&gt;4.5, "EXCELLENT", IF(AND(F93&gt;=3, F93&lt;=4), "AVERAGE", "UN-CATEGORISED"))))</f>
        <v>EXCELLENT</v>
      </c>
      <c r="M93" s="7" t="str">
        <f aca="false">IF(L93="UN-CATEGORISED", "AVERAGE", L93)</f>
        <v>EXCELLENT</v>
      </c>
    </row>
    <row r="94" customFormat="false" ht="13.2" hidden="false" customHeight="false" outlineLevel="0" collapsed="false">
      <c r="A94" s="7" t="str">
        <f aca="false">PROPER(TRIM(raw_data!A:A))</f>
        <v>Wall Clock With Hidden Safe Box</v>
      </c>
      <c r="B94" s="8" t="n">
        <f aca="false">IFERROR(VALUE(TRIM(SUBSTITUTE(LOWER(raw_data!B25), "ksh", ""))), "")</f>
        <v>1650</v>
      </c>
      <c r="C94" s="8" t="n">
        <f aca="false">IFERROR(VALUE(TRIM(SUBSTITUTE(LOWER(raw_data!C25), "ksh", ""))), "")</f>
        <v>2150</v>
      </c>
      <c r="D94" s="21" t="n">
        <f aca="false">VALUE(TRIM(raw_data!D25))</f>
        <v>0.23</v>
      </c>
      <c r="E94" s="10" t="n">
        <f aca="false">IF(ISBLANK(raw_data!E25),"",ABS(TRIM(raw_data!E25)))</f>
        <v>14</v>
      </c>
      <c r="F94" s="11" t="n">
        <f aca="false">IF(ISBLANK(raw_data!F25),"",VALUE(LEFT(raw_data!F25,FIND(" ", raw_data!F25,1))))</f>
        <v>4.4</v>
      </c>
      <c r="G94" s="22" t="n">
        <f aca="false">IFERROR(ROUND(D94-((C94-B94)/C94),4), "")</f>
        <v>-0.0026</v>
      </c>
      <c r="H94" s="2" t="str">
        <f aca="false">=IF(OR(D94="", C94=""), "",IF(C94 &lt; B94, "Check prices", "OK"))</f>
        <v>OK</v>
      </c>
      <c r="I94" s="7" t="str">
        <f aca="false">IF(F94="","",IF(OR(F94&lt;0,F94&gt;5),"EVALUATE","OK"))</f>
        <v>OK</v>
      </c>
      <c r="J94" s="23" t="str">
        <f aca="false">IF(D94="","",IF(OR(D94&lt;0,D94&gt;5),"EVALUATE","OK"))</f>
        <v>OK</v>
      </c>
      <c r="K94" s="8" t="n">
        <f aca="false">IFERROR(C94-B94,"")</f>
        <v>500</v>
      </c>
      <c r="L94" s="7" t="str">
        <f aca="false">IF(ISBLANK(F94), "MISSING", IF(F94&lt;3, "POOR", IF(F94&gt;4.5, "EXCELLENT", IF(AND(F94&gt;=3, F94&lt;=4), "AVERAGE", "UN-CATEGORISED"))))</f>
        <v>UN-CATEGORISED</v>
      </c>
      <c r="M94" s="7" t="str">
        <f aca="false">IF(L94="UN-CATEGORISED", "AVERAGE", L94)</f>
        <v>AVERAGE</v>
      </c>
    </row>
    <row r="95" customFormat="false" ht="13.2" hidden="false" customHeight="false" outlineLevel="0" collapsed="false">
      <c r="A95" s="7" t="str">
        <f aca="false">PROPER(TRIM(raw_data!A:A))</f>
        <v>Portable Wine Table With Folding Round Table</v>
      </c>
      <c r="B95" s="8" t="n">
        <f aca="false">IFERROR(VALUE(TRIM(SUBSTITUTE(LOWER(raw_data!B108), "ksh", ""))), "")</f>
        <v>1875</v>
      </c>
      <c r="C95" s="8" t="n">
        <f aca="false">IFERROR(VALUE(TRIM(SUBSTITUTE(LOWER(raw_data!C108), "ksh", ""))), "")</f>
        <v>1899</v>
      </c>
      <c r="D95" s="21" t="n">
        <f aca="false">VALUE(TRIM(raw_data!D108))</f>
        <v>0.01</v>
      </c>
      <c r="E95" s="10" t="str">
        <f aca="false">IF(ISBLANK(raw_data!E108),"",ABS(TRIM(raw_data!E108)))</f>
        <v/>
      </c>
      <c r="F95" s="11" t="str">
        <f aca="false">IF(ISBLANK(raw_data!F108),"",VALUE(LEFT(raw_data!F108,FIND(" ", raw_data!F108,1))))</f>
        <v/>
      </c>
      <c r="G95" s="22" t="n">
        <f aca="false">IFERROR(ROUND(D95-((C95-B95)/C95),4), "")</f>
        <v>-0.0026</v>
      </c>
      <c r="H95" s="2" t="str">
        <f aca="false">=IF(OR(D95="", C95=""), "",IF(C95 &lt; B95, "Check prices", "OK"))</f>
        <v>OK</v>
      </c>
      <c r="I95" s="7" t="str">
        <f aca="false">IF(F95="","",IF(OR(F95&lt;0,F95&gt;5),"EVALUATE","OK"))</f>
        <v/>
      </c>
      <c r="J95" s="23" t="str">
        <f aca="false">IF(D95="","",IF(OR(D95&lt;0,D95&gt;5),"EVALUATE","OK"))</f>
        <v>OK</v>
      </c>
      <c r="K95" s="8" t="n">
        <f aca="false">IFERROR(C95-B95,"")</f>
        <v>24</v>
      </c>
      <c r="L95" s="7" t="str">
        <f aca="false">IF(ISBLANK(F95), "MISSING", IF(F95&lt;3, "POOR", IF(F95&gt;4.5, "EXCELLENT", IF(AND(F95&gt;=3, F95&lt;=4), "AVERAGE", "UN-CATEGORISED"))))</f>
        <v>EXCELLENT</v>
      </c>
      <c r="M95" s="7" t="str">
        <f aca="false">IF(L95="UN-CATEGORISED", "AVERAGE", L95)</f>
        <v>EXCELLENT</v>
      </c>
    </row>
    <row r="96" customFormat="false" ht="13.2" hidden="false" customHeight="false" outlineLevel="0" collapsed="false">
      <c r="A96" s="7" t="str">
        <f aca="false">PROPER(TRIM(raw_data!A:A))</f>
        <v>Sewing Machine Needle Threader Stitch Insertion Tool Automatic Quick Sewing</v>
      </c>
      <c r="B96" s="8" t="n">
        <f aca="false">IFERROR(VALUE(TRIM(SUBSTITUTE(LOWER(raw_data!B53), "ksh", ""))), "")</f>
        <v>1660</v>
      </c>
      <c r="C96" s="8" t="n">
        <f aca="false">IFERROR(VALUE(TRIM(SUBSTITUTE(LOWER(raw_data!C53), "ksh", ""))), "")</f>
        <v>1699</v>
      </c>
      <c r="D96" s="21" t="n">
        <f aca="false">VALUE(TRIM(raw_data!D53))</f>
        <v>0.02</v>
      </c>
      <c r="E96" s="10" t="str">
        <f aca="false">IF(ISBLANK(raw_data!E53),"",ABS(TRIM(raw_data!E53)))</f>
        <v/>
      </c>
      <c r="F96" s="11" t="str">
        <f aca="false">IF(ISBLANK(raw_data!F53),"",VALUE(LEFT(raw_data!F53,FIND(" ", raw_data!F53,1))))</f>
        <v/>
      </c>
      <c r="G96" s="22" t="n">
        <f aca="false">IFERROR(ROUND(D96-((C96-B96)/C96),4), "")</f>
        <v>-0.003</v>
      </c>
      <c r="H96" s="2" t="str">
        <f aca="false">=IF(OR(D96="", C96=""), "",IF(C96 &lt; B96, "Check prices", "OK"))</f>
        <v>OK</v>
      </c>
      <c r="I96" s="7" t="str">
        <f aca="false">IF(F96="","",IF(OR(F96&lt;0,F96&gt;5),"EVALUATE","OK"))</f>
        <v/>
      </c>
      <c r="J96" s="23" t="str">
        <f aca="false">IF(D96="","",IF(OR(D96&lt;0,D96&gt;5),"EVALUATE","OK"))</f>
        <v>OK</v>
      </c>
      <c r="K96" s="8" t="n">
        <f aca="false">IFERROR(C96-B96,"")</f>
        <v>39</v>
      </c>
      <c r="L96" s="7" t="str">
        <f aca="false">IF(ISBLANK(F96), "MISSING", IF(F96&lt;3, "POOR", IF(F96&gt;4.5, "EXCELLENT", IF(AND(F96&gt;=3, F96&lt;=4), "AVERAGE", "UN-CATEGORISED"))))</f>
        <v>EXCELLENT</v>
      </c>
      <c r="M96" s="7" t="str">
        <f aca="false">IF(L96="UN-CATEGORISED", "AVERAGE", L96)</f>
        <v>EXCELLENT</v>
      </c>
    </row>
    <row r="97" customFormat="false" ht="13.2" hidden="false" customHeight="false" outlineLevel="0" collapsed="false">
      <c r="A97" s="7" t="str">
        <f aca="false">PROPER(TRIM(raw_data!A:A))</f>
        <v>6 Layers Steel Pipe Assembling Dustproof Storage Shoe Cabinet</v>
      </c>
      <c r="B97" s="8" t="n">
        <f aca="false">IFERROR(VALUE(TRIM(SUBSTITUTE(LOWER(raw_data!B107), "ksh", ""))), "")</f>
        <v>1420</v>
      </c>
      <c r="C97" s="8" t="n">
        <f aca="false">IFERROR(VALUE(TRIM(SUBSTITUTE(LOWER(raw_data!C107), "ksh", ""))), "")</f>
        <v>2420</v>
      </c>
      <c r="D97" s="21" t="n">
        <f aca="false">VALUE(TRIM(raw_data!D107))</f>
        <v>0.41</v>
      </c>
      <c r="E97" s="10" t="str">
        <f aca="false">IF(ISBLANK(raw_data!E107),"",ABS(TRIM(raw_data!E107)))</f>
        <v/>
      </c>
      <c r="F97" s="11" t="str">
        <f aca="false">IF(ISBLANK(raw_data!F107),"",VALUE(LEFT(raw_data!F107,FIND(" ", raw_data!F107,1))))</f>
        <v/>
      </c>
      <c r="G97" s="22" t="n">
        <f aca="false">IFERROR(ROUND(D97-((C97-B97)/C97),4), "")</f>
        <v>-0.0032</v>
      </c>
      <c r="H97" s="2" t="str">
        <f aca="false">=IF(OR(D97="", C97=""), "",IF(C97 &lt; B97, "Check prices", "OK"))</f>
        <v>OK</v>
      </c>
      <c r="I97" s="7" t="str">
        <f aca="false">IF(F97="","",IF(OR(F97&lt;0,F97&gt;5),"EVALUATE","OK"))</f>
        <v/>
      </c>
      <c r="J97" s="23" t="str">
        <f aca="false">IF(D97="","",IF(OR(D97&lt;0,D97&gt;5),"EVALUATE","OK"))</f>
        <v>OK</v>
      </c>
      <c r="K97" s="8" t="n">
        <f aca="false">IFERROR(C97-B97,"")</f>
        <v>1000</v>
      </c>
      <c r="L97" s="7" t="str">
        <f aca="false">IF(ISBLANK(F97), "MISSING", IF(F97&lt;3, "POOR", IF(F97&gt;4.5, "EXCELLENT", IF(AND(F97&gt;=3, F97&lt;=4), "AVERAGE", "UN-CATEGORISED"))))</f>
        <v>EXCELLENT</v>
      </c>
      <c r="M97" s="7" t="str">
        <f aca="false">IF(L97="UN-CATEGORISED", "AVERAGE", L97)</f>
        <v>EXCELLENT</v>
      </c>
    </row>
    <row r="98" customFormat="false" ht="13.2" hidden="false" customHeight="false" outlineLevel="0" collapsed="false">
      <c r="A98" s="7" t="str">
        <f aca="false">PROPER(TRIM(raw_data!A:A))</f>
        <v>6 Layers Steel Pipe Assembling Dustproof Storage Shoe Cabinet</v>
      </c>
      <c r="B98" s="8" t="n">
        <f aca="false">IFERROR(VALUE(TRIM(SUBSTITUTE(LOWER(raw_data!B48), "ksh", ""))), "")</f>
        <v>1190</v>
      </c>
      <c r="C98" s="8" t="n">
        <f aca="false">IFERROR(VALUE(TRIM(SUBSTITUTE(LOWER(raw_data!C48), "ksh", ""))), "")</f>
        <v>1785</v>
      </c>
      <c r="D98" s="21" t="n">
        <f aca="false">VALUE(TRIM(raw_data!D48))</f>
        <v>0.33</v>
      </c>
      <c r="E98" s="10" t="str">
        <f aca="false">IF(ISBLANK(raw_data!E48),"",ABS(TRIM(raw_data!E48)))</f>
        <v/>
      </c>
      <c r="F98" s="11" t="str">
        <f aca="false">IF(ISBLANK(raw_data!F48),"",VALUE(LEFT(raw_data!F48,FIND(" ", raw_data!F48,1))))</f>
        <v/>
      </c>
      <c r="G98" s="22" t="n">
        <f aca="false">IFERROR(ROUND(D98-((C98-B98)/C98),4), "")</f>
        <v>-0.0033</v>
      </c>
      <c r="H98" s="2" t="str">
        <f aca="false">=IF(OR(D98="", C98=""), "",IF(C98 &lt; B98, "Check prices", "OK"))</f>
        <v>OK</v>
      </c>
      <c r="I98" s="7" t="str">
        <f aca="false">IF(F98="","",IF(OR(F98&lt;0,F98&gt;5),"EVALUATE","OK"))</f>
        <v/>
      </c>
      <c r="J98" s="23" t="str">
        <f aca="false">IF(D98="","",IF(OR(D98&lt;0,D98&gt;5),"EVALUATE","OK"))</f>
        <v>OK</v>
      </c>
      <c r="K98" s="8" t="n">
        <f aca="false">IFERROR(C98-B98,"")</f>
        <v>595</v>
      </c>
      <c r="L98" s="7" t="str">
        <f aca="false">IF(ISBLANK(F98), "MISSING", IF(F98&lt;3, "POOR", IF(F98&gt;4.5, "EXCELLENT", IF(AND(F98&gt;=3, F98&lt;=4), "AVERAGE", "UN-CATEGORISED"))))</f>
        <v>EXCELLENT</v>
      </c>
      <c r="M98" s="7" t="str">
        <f aca="false">IF(L98="UN-CATEGORISED", "AVERAGE", L98)</f>
        <v>EXCELLENT</v>
      </c>
    </row>
    <row r="99" customFormat="false" ht="13.2" hidden="false" customHeight="false" outlineLevel="0" collapsed="false">
      <c r="A99" s="7" t="str">
        <f aca="false">PROPER(TRIM(raw_data!A:A))</f>
        <v>2Pcs Ice Silk Square Cushion Cover Pillowcases - 65X65Cm</v>
      </c>
      <c r="B99" s="8" t="n">
        <f aca="false">IFERROR(VALUE(TRIM(SUBSTITUTE(LOWER(raw_data!B11), "ksh", ""))), "")</f>
        <v>1600</v>
      </c>
      <c r="C99" s="8" t="n">
        <f aca="false">IFERROR(VALUE(TRIM(SUBSTITUTE(LOWER(raw_data!C11), "ksh", ""))), "")</f>
        <v>2929</v>
      </c>
      <c r="D99" s="21" t="n">
        <f aca="false">VALUE(TRIM(raw_data!D11))</f>
        <v>0.45</v>
      </c>
      <c r="E99" s="10" t="n">
        <f aca="false">IF(ISBLANK(raw_data!E11),"",ABS(TRIM(raw_data!E11)))</f>
        <v>5</v>
      </c>
      <c r="F99" s="11" t="n">
        <f aca="false">IF(ISBLANK(raw_data!F11),"",VALUE(LEFT(raw_data!F11,FIND(" ", raw_data!F11,1))))</f>
        <v>3.8</v>
      </c>
      <c r="G99" s="22" t="n">
        <f aca="false">IFERROR(ROUND(D99-((C99-B99)/C99),4), "")</f>
        <v>-0.0037</v>
      </c>
      <c r="H99" s="2" t="str">
        <f aca="false">=IF(OR(D99="", C99=""), "",IF(C99 &lt; B99, "Check prices", "OK"))</f>
        <v>OK</v>
      </c>
      <c r="I99" s="7" t="str">
        <f aca="false">IF(F99="","",IF(OR(F99&lt;0,F99&gt;5),"EVALUATE","OK"))</f>
        <v>OK</v>
      </c>
      <c r="J99" s="23" t="str">
        <f aca="false">IF(D99="","",IF(OR(D99&lt;0,D99&gt;5),"EVALUATE","OK"))</f>
        <v>OK</v>
      </c>
      <c r="K99" s="8" t="n">
        <f aca="false">IFERROR(C99-B99,"")</f>
        <v>1329</v>
      </c>
      <c r="L99" s="7" t="str">
        <f aca="false">IF(ISBLANK(F99), "MISSING", IF(F99&lt;3, "POOR", IF(F99&gt;4.5, "EXCELLENT", IF(AND(F99&gt;=3, F99&lt;=4), "AVERAGE", "UN-CATEGORISED"))))</f>
        <v>AVERAGE</v>
      </c>
      <c r="M99" s="7" t="str">
        <f aca="false">IF(L99="UN-CATEGORISED", "AVERAGE", L99)</f>
        <v>AVERAGE</v>
      </c>
    </row>
    <row r="100" customFormat="false" ht="13.2" hidden="false" customHeight="false" outlineLevel="0" collapsed="false">
      <c r="A100" s="7" t="str">
        <f aca="false">PROPER(TRIM(raw_data!A:A))</f>
        <v>Wall Mount Automatic Toothpaste Dispenser Toothbrush Holder Toothpaste Squeezer</v>
      </c>
      <c r="B100" s="8" t="n">
        <f aca="false">IFERROR(VALUE(TRIM(SUBSTITUTE(LOWER(raw_data!B105), "ksh", ""))), "")</f>
        <v>1080</v>
      </c>
      <c r="C100" s="8" t="n">
        <f aca="false">IFERROR(VALUE(TRIM(SUBSTITUTE(LOWER(raw_data!C105), "ksh", ""))), "")</f>
        <v>1874</v>
      </c>
      <c r="D100" s="21" t="n">
        <f aca="false">VALUE(TRIM(raw_data!D105))</f>
        <v>0.42</v>
      </c>
      <c r="E100" s="10" t="str">
        <f aca="false">IF(ISBLANK(raw_data!E105),"",ABS(TRIM(raw_data!E105)))</f>
        <v/>
      </c>
      <c r="F100" s="11" t="str">
        <f aca="false">IF(ISBLANK(raw_data!F105),"",VALUE(LEFT(raw_data!F105,FIND(" ", raw_data!F105,1))))</f>
        <v/>
      </c>
      <c r="G100" s="22" t="n">
        <f aca="false">IFERROR(ROUND(D100-((C100-B100)/C100),4), "")</f>
        <v>-0.0037</v>
      </c>
      <c r="H100" s="2" t="str">
        <f aca="false">=IF(OR(D100="", C100=""), "",IF(C100 &lt; B100, "Check prices", "OK"))</f>
        <v>OK</v>
      </c>
      <c r="I100" s="7" t="str">
        <f aca="false">IF(F100="","",IF(OR(F100&lt;0,F100&gt;5),"EVALUATE","OK"))</f>
        <v/>
      </c>
      <c r="J100" s="23" t="str">
        <f aca="false">IF(D100="","",IF(OR(D100&lt;0,D100&gt;5),"EVALUATE","OK"))</f>
        <v>OK</v>
      </c>
      <c r="K100" s="8" t="n">
        <f aca="false">IFERROR(C100-B100,"")</f>
        <v>794</v>
      </c>
      <c r="L100" s="7" t="str">
        <f aca="false">IF(ISBLANK(F100), "MISSING", IF(F100&lt;3, "POOR", IF(F100&gt;4.5, "EXCELLENT", IF(AND(F100&gt;=3, F100&lt;=4), "AVERAGE", "UN-CATEGORISED"))))</f>
        <v>EXCELLENT</v>
      </c>
      <c r="M100" s="7" t="str">
        <f aca="false">IF(L100="UN-CATEGORISED", "AVERAGE", L100)</f>
        <v>EXCELLENT</v>
      </c>
    </row>
    <row r="101" customFormat="false" ht="13.2" hidden="false" customHeight="false" outlineLevel="0" collapsed="false">
      <c r="A101" s="7" t="str">
        <f aca="false">PROPER(TRIM(raw_data!A:A))</f>
        <v>Portable Soap Dispenser Kitchen Detergent Press Box Kitchen Tools</v>
      </c>
      <c r="B101" s="8" t="n">
        <f aca="false">IFERROR(VALUE(TRIM(SUBSTITUTE(LOWER(raw_data!B74), "ksh", ""))), "")</f>
        <v>509</v>
      </c>
      <c r="C101" s="8" t="n">
        <f aca="false">IFERROR(VALUE(TRIM(SUBSTITUTE(LOWER(raw_data!C74), "ksh", ""))), "")</f>
        <v>899</v>
      </c>
      <c r="D101" s="21" t="n">
        <f aca="false">VALUE(TRIM(raw_data!D74))</f>
        <v>0.43</v>
      </c>
      <c r="E101" s="10" t="n">
        <f aca="false">IF(ISBLANK(raw_data!E74),"",ABS(TRIM(raw_data!E74)))</f>
        <v>5</v>
      </c>
      <c r="F101" s="11" t="n">
        <f aca="false">IF(ISBLANK(raw_data!F74),"",VALUE(LEFT(raw_data!F74,FIND(" ", raw_data!F74,1))))</f>
        <v>3</v>
      </c>
      <c r="G101" s="22" t="n">
        <f aca="false">IFERROR(ROUND(D101-((C101-B101)/C101),4), "")</f>
        <v>-0.0038</v>
      </c>
      <c r="H101" s="2" t="str">
        <f aca="false">=IF(OR(D101="", C101=""), "",IF(C101 &lt; B101, "Check prices", "OK"))</f>
        <v>OK</v>
      </c>
      <c r="I101" s="7" t="str">
        <f aca="false">IF(F101="","",IF(OR(F101&lt;0,F101&gt;5),"EVALUATE","OK"))</f>
        <v>OK</v>
      </c>
      <c r="J101" s="23" t="str">
        <f aca="false">IF(D101="","",IF(OR(D101&lt;0,D101&gt;5),"EVALUATE","OK"))</f>
        <v>OK</v>
      </c>
      <c r="K101" s="8" t="n">
        <f aca="false">IFERROR(C101-B101,"")</f>
        <v>390</v>
      </c>
      <c r="L101" s="7" t="str">
        <f aca="false">IF(ISBLANK(F101), "MISSING", IF(F101&lt;3, "POOR", IF(F101&gt;4.5, "EXCELLENT", IF(AND(F101&gt;=3, F101&lt;=4), "AVERAGE", "UN-CATEGORISED"))))</f>
        <v>AVERAGE</v>
      </c>
      <c r="M101" s="7" t="str">
        <f aca="false">IF(L101="UN-CATEGORISED", "AVERAGE", L101)</f>
        <v>AVERAGE</v>
      </c>
    </row>
    <row r="102" customFormat="false" ht="13.2" hidden="false" customHeight="false" outlineLevel="0" collapsed="false">
      <c r="A102" s="7" t="str">
        <f aca="false">PROPER(TRIM(raw_data!A:A))</f>
        <v>4 Piece Coloured Stainless Steel Kitchenware Set</v>
      </c>
      <c r="B102" s="8" t="n">
        <f aca="false">IFERROR(VALUE(TRIM(SUBSTITUTE(LOWER(raw_data!B112), "ksh", ""))), "")</f>
        <v>1658</v>
      </c>
      <c r="C102" s="8" t="n">
        <f aca="false">IFERROR(VALUE(TRIM(SUBSTITUTE(LOWER(raw_data!C112), "ksh", ""))), "")</f>
        <v>1699</v>
      </c>
      <c r="D102" s="21" t="n">
        <f aca="false">VALUE(TRIM(raw_data!D112))</f>
        <v>0.02</v>
      </c>
      <c r="E102" s="10" t="str">
        <f aca="false">IF(ISBLANK(raw_data!E112),"",ABS(TRIM(raw_data!E112)))</f>
        <v/>
      </c>
      <c r="F102" s="11" t="str">
        <f aca="false">IF(ISBLANK(raw_data!F112),"",VALUE(LEFT(raw_data!F112,FIND(" ", raw_data!F112,1))))</f>
        <v/>
      </c>
      <c r="G102" s="22" t="n">
        <f aca="false">IFERROR(ROUND(D102-((C102-B102)/C102),4), "")</f>
        <v>-0.0041</v>
      </c>
      <c r="H102" s="2" t="str">
        <f aca="false">=IF(OR(D102="", C102=""), "",IF(C102 &lt; B102, "Check prices", "OK"))</f>
        <v>OK</v>
      </c>
      <c r="I102" s="7" t="str">
        <f aca="false">IF(F102="","",IF(OR(F102&lt;0,F102&gt;5),"EVALUATE","OK"))</f>
        <v/>
      </c>
      <c r="J102" s="23" t="str">
        <f aca="false">IF(D102="","",IF(OR(D102&lt;0,D102&gt;5),"EVALUATE","OK"))</f>
        <v>OK</v>
      </c>
      <c r="K102" s="8" t="n">
        <f aca="false">IFERROR(C102-B102,"")</f>
        <v>41</v>
      </c>
      <c r="L102" s="7" t="str">
        <f aca="false">IF(ISBLANK(F102), "MISSING", IF(F102&lt;3, "POOR", IF(F102&gt;4.5, "EXCELLENT", IF(AND(F102&gt;=3, F102&lt;=4), "AVERAGE", "UN-CATEGORISED"))))</f>
        <v>EXCELLENT</v>
      </c>
      <c r="M102" s="7" t="str">
        <f aca="false">IF(L102="UN-CATEGORISED", "AVERAGE", L102)</f>
        <v>EXCELLENT</v>
      </c>
    </row>
    <row r="103" customFormat="false" ht="13.2" hidden="false" customHeight="false" outlineLevel="0" collapsed="false">
      <c r="A103" s="7" t="str">
        <f aca="false">PROPER(TRIM(raw_data!A:A))</f>
        <v>Metal Wall Clock Silver Dial Crystal Jewelry Round Home Decoration Wall Clock</v>
      </c>
      <c r="B103" s="8" t="n">
        <f aca="false">IFERROR(VALUE(TRIM(SUBSTITUTE(LOWER(raw_data!B68), "ksh", ""))), "")</f>
        <v>990</v>
      </c>
      <c r="C103" s="8" t="n">
        <f aca="false">IFERROR(VALUE(TRIM(SUBSTITUTE(LOWER(raw_data!C68), "ksh", ""))), "")</f>
        <v>1814</v>
      </c>
      <c r="D103" s="21" t="n">
        <f aca="false">VALUE(TRIM(raw_data!D68))</f>
        <v>0.45</v>
      </c>
      <c r="E103" s="10" t="n">
        <f aca="false">IF(ISBLANK(raw_data!E68),"",ABS(TRIM(raw_data!E68)))</f>
        <v>6</v>
      </c>
      <c r="F103" s="11" t="n">
        <f aca="false">IF(ISBLANK(raw_data!F68),"",VALUE(LEFT(raw_data!F68,FIND(" ", raw_data!F68,1))))</f>
        <v>2.2</v>
      </c>
      <c r="G103" s="22" t="n">
        <f aca="false">IFERROR(ROUND(D103-((C103-B103)/C103),4), "")</f>
        <v>-0.0042</v>
      </c>
      <c r="H103" s="2" t="str">
        <f aca="false">=IF(OR(D103="", C103=""), "",IF(C103 &lt; B103, "Check prices", "OK"))</f>
        <v>OK</v>
      </c>
      <c r="I103" s="7" t="str">
        <f aca="false">IF(F103="","",IF(OR(F103&lt;0,F103&gt;5),"EVALUATE","OK"))</f>
        <v>OK</v>
      </c>
      <c r="J103" s="23" t="str">
        <f aca="false">IF(D103="","",IF(OR(D103&lt;0,D103&gt;5),"EVALUATE","OK"))</f>
        <v>OK</v>
      </c>
      <c r="K103" s="8" t="n">
        <f aca="false">IFERROR(C103-B103,"")</f>
        <v>824</v>
      </c>
      <c r="L103" s="7" t="str">
        <f aca="false">IF(ISBLANK(F103), "MISSING", IF(F103&lt;3, "POOR", IF(F103&gt;4.5, "EXCELLENT", IF(AND(F103&gt;=3, F103&lt;=4), "AVERAGE", "UN-CATEGORISED"))))</f>
        <v>POOR</v>
      </c>
      <c r="M103" s="7" t="str">
        <f aca="false">IF(L103="UN-CATEGORISED", "AVERAGE", L103)</f>
        <v>POOR</v>
      </c>
    </row>
    <row r="104" customFormat="false" ht="13.2" hidden="false" customHeight="false" outlineLevel="0" collapsed="false">
      <c r="A104" s="7" t="str">
        <f aca="false">PROPER(TRIM(raw_data!A:A))</f>
        <v>Baby Early Education Shape And Color Cognitive Training Toys</v>
      </c>
      <c r="B104" s="8" t="n">
        <f aca="false">IFERROR(VALUE(TRIM(SUBSTITUTE(LOWER(raw_data!B71), "ksh", ""))), "")</f>
        <v>382</v>
      </c>
      <c r="C104" s="8" t="n">
        <f aca="false">IFERROR(VALUE(TRIM(SUBSTITUTE(LOWER(raw_data!C71), "ksh", ""))), "")</f>
        <v>700</v>
      </c>
      <c r="D104" s="21" t="n">
        <f aca="false">VALUE(TRIM(raw_data!D71))</f>
        <v>0.45</v>
      </c>
      <c r="E104" s="10" t="n">
        <f aca="false">IF(ISBLANK(raw_data!E71),"",ABS(TRIM(raw_data!E71)))</f>
        <v>17</v>
      </c>
      <c r="F104" s="11" t="n">
        <f aca="false">IF(ISBLANK(raw_data!F71),"",VALUE(LEFT(raw_data!F71,FIND(" ", raw_data!F71,1))))</f>
        <v>2.6</v>
      </c>
      <c r="G104" s="22" t="n">
        <f aca="false">IFERROR(ROUND(D104-((C104-B104)/C104),4), "")</f>
        <v>-0.0043</v>
      </c>
      <c r="H104" s="2" t="str">
        <f aca="false">=IF(OR(D104="", C104=""), "",IF(C104 &lt; B104, "Check prices", "OK"))</f>
        <v>OK</v>
      </c>
      <c r="I104" s="7" t="str">
        <f aca="false">IF(F104="","",IF(OR(F104&lt;0,F104&gt;5),"EVALUATE","OK"))</f>
        <v>OK</v>
      </c>
      <c r="J104" s="23" t="str">
        <f aca="false">IF(D104="","",IF(OR(D104&lt;0,D104&gt;5),"EVALUATE","OK"))</f>
        <v>OK</v>
      </c>
      <c r="K104" s="8" t="n">
        <f aca="false">IFERROR(C104-B104,"")</f>
        <v>318</v>
      </c>
      <c r="L104" s="7" t="str">
        <f aca="false">IF(ISBLANK(F104), "MISSING", IF(F104&lt;3, "POOR", IF(F104&gt;4.5, "EXCELLENT", IF(AND(F104&gt;=3, F104&lt;=4), "AVERAGE", "UN-CATEGORISED"))))</f>
        <v>POOR</v>
      </c>
      <c r="M104" s="7" t="str">
        <f aca="false">IF(L104="UN-CATEGORISED", "AVERAGE", L104)</f>
        <v>POOR</v>
      </c>
    </row>
    <row r="105" customFormat="false" ht="13.2" hidden="false" customHeight="false" outlineLevel="0" collapsed="false">
      <c r="A105" s="7" t="str">
        <f aca="false">PROPER(TRIM(raw_data!A:A))</f>
        <v>8In1 Screwdriver With Led Light</v>
      </c>
      <c r="B105" s="8" t="n">
        <f aca="false">IFERROR(VALUE(TRIM(SUBSTITUTE(LOWER(raw_data!B44), "ksh", ""))), "")</f>
        <v>610</v>
      </c>
      <c r="C105" s="8" t="n">
        <f aca="false">IFERROR(VALUE(TRIM(SUBSTITUTE(LOWER(raw_data!C44), "ksh", ""))), "")</f>
        <v>1060</v>
      </c>
      <c r="D105" s="21" t="n">
        <f aca="false">VALUE(TRIM(raw_data!D44))</f>
        <v>0.42</v>
      </c>
      <c r="E105" s="10" t="str">
        <f aca="false">IF(ISBLANK(raw_data!E44),"",ABS(TRIM(raw_data!E44)))</f>
        <v/>
      </c>
      <c r="F105" s="11" t="str">
        <f aca="false">IF(ISBLANK(raw_data!F44),"",VALUE(LEFT(raw_data!F44,FIND(" ", raw_data!F44,1))))</f>
        <v/>
      </c>
      <c r="G105" s="22" t="n">
        <f aca="false">IFERROR(ROUND(D105-((C105-B105)/C105),4), "")</f>
        <v>-0.0045</v>
      </c>
      <c r="H105" s="2" t="str">
        <f aca="false">=IF(OR(D105="", C105=""), "",IF(C105 &lt; B105, "Check prices", "OK"))</f>
        <v>OK</v>
      </c>
      <c r="I105" s="7" t="str">
        <f aca="false">IF(F105="","",IF(OR(F105&lt;0,F105&gt;5),"EVALUATE","OK"))</f>
        <v/>
      </c>
      <c r="J105" s="23" t="str">
        <f aca="false">IF(D105="","",IF(OR(D105&lt;0,D105&gt;5),"EVALUATE","OK"))</f>
        <v>OK</v>
      </c>
      <c r="K105" s="8" t="n">
        <f aca="false">IFERROR(C105-B105,"")</f>
        <v>450</v>
      </c>
      <c r="L105" s="7" t="str">
        <f aca="false">IF(ISBLANK(F105), "MISSING", IF(F105&lt;3, "POOR", IF(F105&gt;4.5, "EXCELLENT", IF(AND(F105&gt;=3, F105&lt;=4), "AVERAGE", "UN-CATEGORISED"))))</f>
        <v>EXCELLENT</v>
      </c>
      <c r="M105" s="7" t="str">
        <f aca="false">IF(L105="UN-CATEGORISED", "AVERAGE", L105)</f>
        <v>EXCELLENT</v>
      </c>
    </row>
    <row r="106" customFormat="false" ht="13.2" hidden="false" customHeight="false" outlineLevel="0" collapsed="false">
      <c r="A106" s="7" t="str">
        <f aca="false">PROPER(TRIM(raw_data!A:A))</f>
        <v>Konka Healty Electric Kettle, 24-Hour Heat Preservation,1.5L,800W, White</v>
      </c>
      <c r="B106" s="8" t="n">
        <f aca="false">IFERROR(VALUE(TRIM(SUBSTITUTE(LOWER(raw_data!B17), "ksh", ""))), "")</f>
        <v>332</v>
      </c>
      <c r="C106" s="8" t="n">
        <f aca="false">IFERROR(VALUE(TRIM(SUBSTITUTE(LOWER(raw_data!C17), "ksh", ""))), "")</f>
        <v>684</v>
      </c>
      <c r="D106" s="21" t="n">
        <f aca="false">VALUE(TRIM(raw_data!D17))</f>
        <v>0.51</v>
      </c>
      <c r="E106" s="10" t="n">
        <f aca="false">IF(ISBLANK(raw_data!E17),"",ABS(TRIM(raw_data!E17)))</f>
        <v>2</v>
      </c>
      <c r="F106" s="11" t="n">
        <f aca="false">IF(ISBLANK(raw_data!F17),"",VALUE(LEFT(raw_data!F17,FIND(" ", raw_data!F17,1))))</f>
        <v>5</v>
      </c>
      <c r="G106" s="22" t="n">
        <f aca="false">IFERROR(ROUND(D106-((C106-B106)/C106),4), "")</f>
        <v>-0.0046</v>
      </c>
      <c r="H106" s="2" t="str">
        <f aca="false">=IF(OR(D106="", C106=""), "",IF(C106 &lt; B106, "Check prices", "OK"))</f>
        <v>OK</v>
      </c>
      <c r="I106" s="7" t="str">
        <f aca="false">IF(F106="","",IF(OR(F106&lt;0,F106&gt;5),"EVALUATE","OK"))</f>
        <v>OK</v>
      </c>
      <c r="J106" s="23" t="str">
        <f aca="false">IF(D106="","",IF(OR(D106&lt;0,D106&gt;5),"EVALUATE","OK"))</f>
        <v>OK</v>
      </c>
      <c r="K106" s="8" t="n">
        <f aca="false">IFERROR(C106-B106,"")</f>
        <v>352</v>
      </c>
      <c r="L106" s="7" t="str">
        <f aca="false">IF(ISBLANK(F106), "MISSING", IF(F106&lt;3, "POOR", IF(F106&gt;4.5, "EXCELLENT", IF(AND(F106&gt;=3, F106&lt;=4), "AVERAGE", "UN-CATEGORISED"))))</f>
        <v>EXCELLENT</v>
      </c>
      <c r="M106" s="7" t="str">
        <f aca="false">IF(L106="UN-CATEGORISED", "AVERAGE", L106)</f>
        <v>EXCELLENT</v>
      </c>
    </row>
    <row r="107" customFormat="false" ht="13.2" hidden="false" customHeight="false" outlineLevel="0" collapsed="false">
      <c r="A107" s="7" t="str">
        <f aca="false">PROPER(TRIM(raw_data!A:A))</f>
        <v>9Pcs Gas Mask, For Painting, Dust, Formaldehyde Grinding, Polishing</v>
      </c>
      <c r="B107" s="8" t="n">
        <f aca="false">IFERROR(VALUE(TRIM(SUBSTITUTE(LOWER(raw_data!B50), "ksh", ""))), "")</f>
        <v>1200</v>
      </c>
      <c r="C107" s="8" t="n">
        <f aca="false">IFERROR(VALUE(TRIM(SUBSTITUTE(LOWER(raw_data!C50), "ksh", ""))), "")</f>
        <v>1950</v>
      </c>
      <c r="D107" s="21" t="n">
        <f aca="false">VALUE(TRIM(raw_data!D50))</f>
        <v>0.38</v>
      </c>
      <c r="E107" s="10" t="str">
        <f aca="false">IF(ISBLANK(raw_data!E50),"",ABS(TRIM(raw_data!E50)))</f>
        <v/>
      </c>
      <c r="F107" s="11" t="str">
        <f aca="false">IF(ISBLANK(raw_data!F50),"",VALUE(LEFT(raw_data!F50,FIND(" ", raw_data!F50,1))))</f>
        <v/>
      </c>
      <c r="G107" s="22" t="n">
        <f aca="false">IFERROR(ROUND(D107-((C107-B107)/C107),4), "")</f>
        <v>-0.0046</v>
      </c>
      <c r="H107" s="2" t="str">
        <f aca="false">=IF(OR(D107="", C107=""), "",IF(C107 &lt; B107, "Check prices", "OK"))</f>
        <v>OK</v>
      </c>
      <c r="I107" s="7" t="str">
        <f aca="false">IF(F107="","",IF(OR(F107&lt;0,F107&gt;5),"EVALUATE","OK"))</f>
        <v/>
      </c>
      <c r="J107" s="23" t="str">
        <f aca="false">IF(D107="","",IF(OR(D107&lt;0,D107&gt;5),"EVALUATE","OK"))</f>
        <v>OK</v>
      </c>
      <c r="K107" s="8" t="n">
        <f aca="false">IFERROR(C107-B107,"")</f>
        <v>750</v>
      </c>
      <c r="L107" s="7" t="str">
        <f aca="false">IF(ISBLANK(F107), "MISSING", IF(F107&lt;3, "POOR", IF(F107&gt;4.5, "EXCELLENT", IF(AND(F107&gt;=3, F107&lt;=4), "AVERAGE", "UN-CATEGORISED"))))</f>
        <v>EXCELLENT</v>
      </c>
      <c r="M107" s="7" t="str">
        <f aca="false">IF(L107="UN-CATEGORISED", "AVERAGE", L107)</f>
        <v>EXCELLENT</v>
      </c>
    </row>
    <row r="108" customFormat="false" ht="13.2" hidden="false" customHeight="false" outlineLevel="0" collapsed="false">
      <c r="A108" s="7" t="str">
        <f aca="false">PROPER(TRIM(raw_data!A:A))</f>
        <v>24 Grid Wall-Mounted Sundries Organiser Fabric Closet Bag Storage Rack</v>
      </c>
      <c r="B108" s="8" t="n">
        <f aca="false">IFERROR(VALUE(TRIM(SUBSTITUTE(LOWER(raw_data!B76), "ksh", ""))), "")</f>
        <v>1570</v>
      </c>
      <c r="C108" s="8" t="n">
        <f aca="false">IFERROR(VALUE(TRIM(SUBSTITUTE(LOWER(raw_data!C76), "ksh", ""))), "")</f>
        <v>2988</v>
      </c>
      <c r="D108" s="21" t="n">
        <f aca="false">VALUE(TRIM(raw_data!D76))</f>
        <v>0.47</v>
      </c>
      <c r="E108" s="10" t="n">
        <f aca="false">IF(ISBLANK(raw_data!E76),"",ABS(TRIM(raw_data!E76)))</f>
        <v>7</v>
      </c>
      <c r="F108" s="11" t="n">
        <f aca="false">IF(ISBLANK(raw_data!F76),"",VALUE(LEFT(raw_data!F76,FIND(" ", raw_data!F76,1))))</f>
        <v>2.1</v>
      </c>
      <c r="G108" s="22" t="n">
        <f aca="false">IFERROR(ROUND(D108-((C108-B108)/C108),4), "")</f>
        <v>-0.0046</v>
      </c>
      <c r="H108" s="2" t="str">
        <f aca="false">=IF(OR(D108="", C108=""), "",IF(C108 &lt; B108, "Check prices", "OK"))</f>
        <v>OK</v>
      </c>
      <c r="I108" s="7" t="str">
        <f aca="false">IF(F108="","",IF(OR(F108&lt;0,F108&gt;5),"EVALUATE","OK"))</f>
        <v>OK</v>
      </c>
      <c r="J108" s="23" t="str">
        <f aca="false">IF(D108="","",IF(OR(D108&lt;0,D108&gt;5),"EVALUATE","OK"))</f>
        <v>OK</v>
      </c>
      <c r="K108" s="8" t="n">
        <f aca="false">IFERROR(C108-B108,"")</f>
        <v>1418</v>
      </c>
      <c r="L108" s="7" t="str">
        <f aca="false">IF(ISBLANK(F108), "MISSING", IF(F108&lt;3, "POOR", IF(F108&gt;4.5, "EXCELLENT", IF(AND(F108&gt;=3, F108&lt;=4), "AVERAGE", "UN-CATEGORISED"))))</f>
        <v>POOR</v>
      </c>
      <c r="M108" s="7" t="str">
        <f aca="false">IF(L108="UN-CATEGORISED", "AVERAGE", L108)</f>
        <v>POOR</v>
      </c>
    </row>
    <row r="109" customFormat="false" ht="13.2" hidden="false" customHeight="false" outlineLevel="0" collapsed="false">
      <c r="A109" s="7" t="str">
        <f aca="false">PROPER(TRIM(raw_data!A:A))</f>
        <v>1Pc Refrigerator Food Seal Pocket Fridge Bags</v>
      </c>
      <c r="B109" s="8" t="n">
        <f aca="false">IFERROR(VALUE(TRIM(SUBSTITUTE(LOWER(raw_data!B9), "ksh", ""))), "")</f>
        <v>988</v>
      </c>
      <c r="C109" s="8" t="n">
        <f aca="false">IFERROR(VALUE(TRIM(SUBSTITUTE(LOWER(raw_data!C9), "ksh", ""))), "")</f>
        <v>1580</v>
      </c>
      <c r="D109" s="21" t="n">
        <f aca="false">VALUE(TRIM(raw_data!D9))</f>
        <v>0.37</v>
      </c>
      <c r="E109" s="10" t="n">
        <f aca="false">IF(ISBLANK(raw_data!E9),"",ABS(TRIM(raw_data!E9)))</f>
        <v>2</v>
      </c>
      <c r="F109" s="11" t="n">
        <f aca="false">IF(ISBLANK(raw_data!F9),"",VALUE(LEFT(raw_data!F9,FIND(" ", raw_data!F9,1))))</f>
        <v>4</v>
      </c>
      <c r="G109" s="22" t="n">
        <f aca="false">IFERROR(ROUND(D109-((C109-B109)/C109),4), "")</f>
        <v>-0.0047</v>
      </c>
      <c r="H109" s="2" t="str">
        <f aca="false">=IF(OR(D109="", C109=""), "",IF(C109 &lt; B109, "Check prices", "OK"))</f>
        <v>OK</v>
      </c>
      <c r="I109" s="7" t="str">
        <f aca="false">IF(F109="","",IF(OR(F109&lt;0,F109&gt;5),"EVALUATE","OK"))</f>
        <v>OK</v>
      </c>
      <c r="J109" s="23" t="str">
        <f aca="false">IF(D109="","",IF(OR(D109&lt;0,D109&gt;5),"EVALUATE","OK"))</f>
        <v>OK</v>
      </c>
      <c r="K109" s="8" t="n">
        <f aca="false">IFERROR(C109-B109,"")</f>
        <v>592</v>
      </c>
      <c r="L109" s="7" t="str">
        <f aca="false">IF(ISBLANK(F109), "MISSING", IF(F109&lt;3, "POOR", IF(F109&gt;4.5, "EXCELLENT", IF(AND(F109&gt;=3, F109&lt;=4), "AVERAGE", "UN-CATEGORISED"))))</f>
        <v>AVERAGE</v>
      </c>
      <c r="M109" s="7" t="str">
        <f aca="false">IF(L109="UN-CATEGORISED", "AVERAGE", L109)</f>
        <v>AVERAGE</v>
      </c>
    </row>
    <row r="110" customFormat="false" ht="13.2" hidden="false" customHeight="false" outlineLevel="0" collapsed="false">
      <c r="A110" s="7" t="str">
        <f aca="false">PROPER(TRIM(raw_data!A:A))</f>
        <v>Led Solar Street Light-Fake Camera</v>
      </c>
      <c r="B110" s="8" t="n">
        <f aca="false">IFERROR(VALUE(TRIM(SUBSTITUTE(LOWER(raw_data!B61), "ksh", ""))), "")</f>
        <v>399</v>
      </c>
      <c r="C110" s="8" t="n">
        <f aca="false">IFERROR(VALUE(TRIM(SUBSTITUTE(LOWER(raw_data!C61), "ksh", ""))), "")</f>
        <v>896</v>
      </c>
      <c r="D110" s="21" t="n">
        <f aca="false">VALUE(TRIM(raw_data!D61))</f>
        <v>0.55</v>
      </c>
      <c r="E110" s="10" t="str">
        <f aca="false">IF(ISBLANK(raw_data!E61),"",ABS(TRIM(raw_data!E61)))</f>
        <v/>
      </c>
      <c r="F110" s="11" t="str">
        <f aca="false">IF(ISBLANK(raw_data!F61),"",VALUE(LEFT(raw_data!F61,FIND(" ", raw_data!F61,1))))</f>
        <v/>
      </c>
      <c r="G110" s="22" t="n">
        <f aca="false">IFERROR(ROUND(D110-((C110-B110)/C110),4), "")</f>
        <v>-0.0047</v>
      </c>
      <c r="H110" s="2" t="str">
        <f aca="false">=IF(OR(D110="", C110=""), "",IF(C110 &lt; B110, "Check prices", "OK"))</f>
        <v>OK</v>
      </c>
      <c r="I110" s="7" t="str">
        <f aca="false">IF(F110="","",IF(OR(F110&lt;0,F110&gt;5),"EVALUATE","OK"))</f>
        <v/>
      </c>
      <c r="J110" s="23" t="str">
        <f aca="false">IF(D110="","",IF(OR(D110&lt;0,D110&gt;5),"EVALUATE","OK"))</f>
        <v>OK</v>
      </c>
      <c r="K110" s="8" t="n">
        <f aca="false">IFERROR(C110-B110,"")</f>
        <v>497</v>
      </c>
      <c r="L110" s="7" t="str">
        <f aca="false">IF(ISBLANK(F110), "MISSING", IF(F110&lt;3, "POOR", IF(F110&gt;4.5, "EXCELLENT", IF(AND(F110&gt;=3, F110&lt;=4), "AVERAGE", "UN-CATEGORISED"))))</f>
        <v>EXCELLENT</v>
      </c>
      <c r="M110" s="7" t="str">
        <f aca="false">IF(L110="UN-CATEGORISED", "AVERAGE", L110)</f>
        <v>EXCELLENT</v>
      </c>
    </row>
    <row r="111" customFormat="false" ht="13.2" hidden="false" customHeight="false" outlineLevel="0" collapsed="false">
      <c r="A111" s="7" t="str">
        <f aca="false">PROPER(TRIM(raw_data!A:A))</f>
        <v>Cartoon Embroidered Mini Towel Bear Cotton Wash Cloth Hand 4Pcs</v>
      </c>
      <c r="B111" s="8" t="n">
        <f aca="false">IFERROR(VALUE(TRIM(SUBSTITUTE(LOWER(raw_data!B101), "ksh", ""))), "")</f>
        <v>1462</v>
      </c>
      <c r="C111" s="8" t="n">
        <f aca="false">IFERROR(VALUE(TRIM(SUBSTITUTE(LOWER(raw_data!C101), "ksh", ""))), "")</f>
        <v>1499</v>
      </c>
      <c r="D111" s="21" t="n">
        <f aca="false">VALUE(TRIM(raw_data!D101))</f>
        <v>0.02</v>
      </c>
      <c r="E111" s="10" t="str">
        <f aca="false">IF(ISBLANK(raw_data!E101),"",ABS(TRIM(raw_data!E101)))</f>
        <v/>
      </c>
      <c r="F111" s="11" t="str">
        <f aca="false">IF(ISBLANK(raw_data!F101),"",VALUE(LEFT(raw_data!F101,FIND(" ", raw_data!F101,1))))</f>
        <v/>
      </c>
      <c r="G111" s="22" t="n">
        <f aca="false">IFERROR(ROUND(D111-((C111-B111)/C111),4), "")</f>
        <v>-0.0047</v>
      </c>
      <c r="H111" s="2" t="str">
        <f aca="false">=IF(OR(D111="", C111=""), "",IF(C111 &lt; B111, "Check prices", "OK"))</f>
        <v>OK</v>
      </c>
      <c r="I111" s="7" t="str">
        <f aca="false">IF(F111="","",IF(OR(F111&lt;0,F111&gt;5),"EVALUATE","OK"))</f>
        <v/>
      </c>
      <c r="J111" s="23" t="str">
        <f aca="false">IF(D111="","",IF(OR(D111&lt;0,D111&gt;5),"EVALUATE","OK"))</f>
        <v>OK</v>
      </c>
      <c r="K111" s="8" t="n">
        <f aca="false">IFERROR(C111-B111,"")</f>
        <v>37</v>
      </c>
      <c r="L111" s="7" t="str">
        <f aca="false">IF(ISBLANK(F111), "MISSING", IF(F111&lt;3, "POOR", IF(F111&gt;4.5, "EXCELLENT", IF(AND(F111&gt;=3, F111&lt;=4), "AVERAGE", "UN-CATEGORISED"))))</f>
        <v>EXCELLENT</v>
      </c>
      <c r="M111" s="7" t="str">
        <f aca="false">IF(L111="UN-CATEGORISED", "AVERAGE", L111)</f>
        <v>EXCELLENT</v>
      </c>
    </row>
    <row r="112" customFormat="false" ht="13.2" hidden="false" customHeight="false" outlineLevel="0" collapsed="false">
      <c r="A112" s="7" t="str">
        <f aca="false">PROPER(TRIM(raw_data!A:A))</f>
        <v>Shower Nozzle Cleaning Unclogging Needle Mini Crevice Small Hole Cleaning Brush</v>
      </c>
      <c r="B112" s="8" t="n">
        <f aca="false">IFERROR(VALUE(TRIM(SUBSTITUTE(LOWER(raw_data!B26), "ksh", ""))), "")</f>
        <v>2048</v>
      </c>
      <c r="C112" s="8" t="n">
        <f aca="false">IFERROR(VALUE(TRIM(SUBSTITUTE(LOWER(raw_data!C26), "ksh", ""))), "")</f>
        <v>4500</v>
      </c>
      <c r="D112" s="21" t="n">
        <f aca="false">VALUE(TRIM(raw_data!D26))</f>
        <v>0.54</v>
      </c>
      <c r="E112" s="10" t="n">
        <f aca="false">IF(ISBLANK(raw_data!E26),"",ABS(TRIM(raw_data!E26)))</f>
        <v>7</v>
      </c>
      <c r="F112" s="11" t="n">
        <f aca="false">IF(ISBLANK(raw_data!F26),"",VALUE(LEFT(raw_data!F26,FIND(" ", raw_data!F26,1))))</f>
        <v>4.3</v>
      </c>
      <c r="G112" s="22" t="n">
        <f aca="false">IFERROR(ROUND(D112-((C112-B112)/C112),4), "")</f>
        <v>-0.0049</v>
      </c>
      <c r="H112" s="2" t="str">
        <f aca="false">=IF(OR(D112="", C112=""), "",IF(C112 &lt; B112, "Check prices", "OK"))</f>
        <v>OK</v>
      </c>
      <c r="I112" s="7" t="str">
        <f aca="false">IF(F112="","",IF(OR(F112&lt;0,F112&gt;5),"EVALUATE","OK"))</f>
        <v>OK</v>
      </c>
      <c r="J112" s="23" t="str">
        <f aca="false">IF(D112="","",IF(OR(D112&lt;0,D112&gt;5),"EVALUATE","OK"))</f>
        <v>OK</v>
      </c>
      <c r="K112" s="8" t="n">
        <f aca="false">IFERROR(C112-B112,"")</f>
        <v>2452</v>
      </c>
      <c r="L112" s="7" t="str">
        <f aca="false">IF(ISBLANK(F112), "MISSING", IF(F112&lt;3, "POOR", IF(F112&gt;4.5, "EXCELLENT", IF(AND(F112&gt;=3, F112&lt;=4), "AVERAGE", "UN-CATEGORISED"))))</f>
        <v>UN-CATEGORISED</v>
      </c>
      <c r="M112" s="7" t="str">
        <f aca="false">IF(L112="UN-CATEGORISED", "AVERAGE", L112)</f>
        <v>AVERAGE</v>
      </c>
    </row>
    <row r="113" customFormat="false" ht="13.2" hidden="false" customHeight="false" outlineLevel="0" collapsed="false">
      <c r="A113" s="7" t="str">
        <f aca="false">PROPER(TRIM(raw_data!A:A))</f>
        <v>Thickening Multipurpose Non Stick Easy To Clean Heat Resistant Spoon Pad</v>
      </c>
      <c r="B113" s="8" t="n">
        <f aca="false">IFERROR(VALUE(TRIM(SUBSTITUTE(LOWER(raw_data!B41), "ksh", ""))), "")</f>
        <v>2750</v>
      </c>
      <c r="C113" s="8" t="n">
        <f aca="false">IFERROR(VALUE(TRIM(SUBSTITUTE(LOWER(raw_data!C41), "ksh", ""))), "")</f>
        <v>4471</v>
      </c>
      <c r="D113" s="21" t="n">
        <f aca="false">VALUE(TRIM(raw_data!D41))</f>
        <v>0.38</v>
      </c>
      <c r="E113" s="10" t="str">
        <f aca="false">IF(ISBLANK(raw_data!E41),"",ABS(TRIM(raw_data!E41)))</f>
        <v/>
      </c>
      <c r="F113" s="11" t="str">
        <f aca="false">IF(ISBLANK(raw_data!F41),"",VALUE(LEFT(raw_data!F41,FIND(" ", raw_data!F41,1))))</f>
        <v/>
      </c>
      <c r="G113" s="22" t="n">
        <f aca="false">IFERROR(ROUND(D113-((C113-B113)/C113),4), "")</f>
        <v>-0.0049</v>
      </c>
      <c r="H113" s="2" t="str">
        <f aca="false">=IF(OR(D113="", C113=""), "",IF(C113 &lt; B113, "Check prices", "OK"))</f>
        <v>OK</v>
      </c>
      <c r="I113" s="7" t="str">
        <f aca="false">IF(F113="","",IF(OR(F113&lt;0,F113&gt;5),"EVALUATE","OK"))</f>
        <v/>
      </c>
      <c r="J113" s="23" t="str">
        <f aca="false">IF(D113="","",IF(OR(D113&lt;0,D113&gt;5),"EVALUATE","OK"))</f>
        <v>OK</v>
      </c>
      <c r="K113" s="8" t="n">
        <f aca="false">IFERROR(C113-B113,"")</f>
        <v>1721</v>
      </c>
      <c r="L113" s="7" t="str">
        <f aca="false">IF(ISBLANK(F113), "MISSING", IF(F113&lt;3, "POOR", IF(F113&gt;4.5, "EXCELLENT", IF(AND(F113&gt;=3, F113&lt;=4), "AVERAGE", "UN-CATEGORISED"))))</f>
        <v>EXCELLENT</v>
      </c>
      <c r="M113" s="7" t="str">
        <f aca="false">IF(L113="UN-CATEGORISED", "AVERAGE", L113)</f>
        <v>EXCELLENT</v>
      </c>
    </row>
    <row r="114" customFormat="false" ht="13.2" hidden="false" customHeight="false" outlineLevel="0" collapsed="false">
      <c r="A114" s="7" t="str">
        <f aca="false">PROPER(TRIM(raw_data!A:A))</f>
        <v>6 In 1 Bottle Can Opener Multifunctional Easy Opener</v>
      </c>
    </row>
    <row r="116" customFormat="false" ht="13.2" hidden="false" customHeight="false" outlineLevel="0" collapsed="false">
      <c r="G116" s="24"/>
    </row>
  </sheetData>
  <autoFilter ref="A1:L114"/>
  <conditionalFormatting sqref="H2:J113">
    <cfRule type="containsText" priority="2" operator="containsText" aboveAverage="0" equalAverage="0" bottom="0" percent="0" rank="0" text="ok" dxfId="11">
      <formula>NOT(ISERROR(SEARCH("ok",H2)))</formula>
    </cfRule>
  </conditionalFormatting>
  <conditionalFormatting sqref="L2:M113">
    <cfRule type="containsText" priority="3" operator="containsText" aboveAverage="0" equalAverage="0" bottom="0" percent="0" rank="0" text="UN-CATEGORISED" dxfId="12">
      <formula>NOT(ISERROR(SEARCH("UN-CATEGORISED",L2)))</formula>
    </cfRule>
    <cfRule type="containsText" priority="4" operator="containsText" aboveAverage="0" equalAverage="0" bottom="0" percent="0" rank="0" text="EXCELLENT" dxfId="11">
      <formula>NOT(ISERROR(SEARCH("EXCELLENT",L2)))</formula>
    </cfRule>
    <cfRule type="containsText" priority="5" operator="containsText" aboveAverage="0" equalAverage="0" bottom="0" percent="0" rank="0" text="POOR" dxfId="13">
      <formula>NOT(ISERROR(SEARCH("POOR",L2)))</formula>
    </cfRule>
    <cfRule type="containsText" priority="6" operator="containsText" aboveAverage="0" equalAverage="0" bottom="0" percent="0" rank="0" text="AVERAGE" dxfId="14">
      <formula>NOT(ISERROR(SEARCH("AVERAGE",L2)))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2026-09-07T13:05:47Z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